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RESOURCES" sheetId="2" state="visible" r:id="rId2"/>
    <sheet name="TASKS" sheetId="3" state="visible" r:id="rId3"/>
    <sheet name="GANTT_CHART" sheetId="4" state="visible" r:id="rId4"/>
    <sheet name="RESOURCE_ALLOC" sheetId="5" state="visible" r:id="rId5"/>
    <sheet name="TIMESHEET" sheetId="6" state="visible" r:id="rId6"/>
    <sheet name="COST_ANALYSIS" sheetId="7" state="visible" r:id="rId7"/>
    <sheet name="CHANGE_LOG" sheetId="8" state="visible" r:id="rId8"/>
    <sheet name="INSTRUCTIONS" sheetId="9" state="visible" r:id="rId9"/>
  </sheets>
  <definedNames>
    <definedName name="CFG_ProjectName">'CONFIG'!$B$5</definedName>
    <definedName name="CFG_StartDate">'CONFIG'!$B$9</definedName>
    <definedName name="CFG_EndDate">'CONFIG'!$B$10</definedName>
    <definedName name="CFG_HoursPerDay">'CONFIG'!$B$11</definedName>
    <definedName name="CFG_Currency">'CONFIG'!$B$12</definedName>
    <definedName name="CFG_GanttView">'CONFIG'!$B$13</definedName>
    <definedName name="CFG_Budget">'CONFIG'!$B$14</definedName>
    <definedName name="CFG_Contingency">'CONFIG'!$B$15</definedName>
    <definedName name="CFG_TodayColour">'CONFIG'!$B$20</definedName>
    <definedName name="CFG_WeekendColour">'CONFIG'!$B$21</definedName>
    <definedName name="CFG_MilestoneSym">'CONFIG'!$B$22</definedName>
    <definedName name="CFG_DeliverSym">'CONFIG'!$B$23</definedName>
    <definedName name="CFG_RowHeight">'CONFIG'!$B$24</definedName>
    <definedName name="ItemTypeNames">'CONFIG'!$J$6:$J$10</definedName>
    <definedName name="StatusNames">'CONFIG'!$J$14:$J$20</definedName>
    <definedName name="PriorityNames">'CONFIG'!$J$24:$J$27</definedName>
    <definedName name="HolidayDates">'CONFIG'!$E$21:$E$27</definedName>
    <definedName name="ResourceIDs">'RESOURCES'!$A$4:$A$11</definedName>
    <definedName name="ResourceNames">'RESOURCES'!$B$4:$B$11</definedName>
    <definedName name="ResourceRoles">'RESOURCES'!$C$4:$C$11</definedName>
    <definedName name="ResourceRates">'RESOURCES'!$H$4:$H$11</definedName>
    <definedName name="ResourceAvail">'RESOURCES'!$F$4:$F$11</definedName>
    <definedName name="TaskIDs">'TASKS'!$A$4:$A$38</definedName>
    <definedName name="TaskNames">'TASKS'!$D$4:$D$38</definedName>
    <definedName name="TaskStartDates">'TASKS'!$H$4:$H$38</definedName>
    <definedName name="TaskEndDates">'TASKS'!$I$4:$I$38</definedName>
    <definedName name="TaskProgress">'TASKS'!$K$4:$K$38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0.0"/>
    <numFmt numFmtId="167" formatCode="&quot;Yes&quot;;&quot;Yes&quot;;&quot;No&quot;"/>
    <numFmt numFmtId="168" formatCode="MM/DD"/>
    <numFmt numFmtId="169" formatCode="0.0%"/>
  </numFmts>
  <fonts count="3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4E79"/>
      <sz val="10"/>
    </font>
    <font>
      <b val="1"/>
      <color rgb="00FFFFFF"/>
      <sz val="11"/>
    </font>
    <font>
      <b val="1"/>
      <color rgb="001F4E79"/>
      <sz val="10"/>
    </font>
    <font>
      <sz val="10"/>
    </font>
    <font>
      <b val="1"/>
      <color rgb="00FFFFFF"/>
      <sz val="9"/>
    </font>
    <font>
      <b val="1"/>
      <color rgb="00FFFFFF"/>
      <sz val="10"/>
    </font>
    <font>
      <b val="1"/>
      <color rgb="00000000"/>
      <sz val="9"/>
    </font>
    <font>
      <b val="1"/>
      <color rgb="00000000"/>
      <sz val="10"/>
    </font>
    <font>
      <sz val="9"/>
    </font>
    <font>
      <b val="1"/>
      <color rgb="00FFFFFF"/>
      <sz val="14"/>
    </font>
    <font>
      <i val="1"/>
      <color rgb="002E75B6"/>
      <sz val="9"/>
    </font>
    <font>
      <b val="1"/>
      <sz val="10"/>
    </font>
    <font>
      <b val="1"/>
    </font>
    <font>
      <i val="1"/>
      <color rgb="00375623"/>
      <sz val="9"/>
    </font>
    <font>
      <b val="1"/>
      <sz val="9"/>
    </font>
    <font>
      <i val="1"/>
      <sz val="9"/>
    </font>
    <font>
      <b val="1"/>
      <color rgb="00FF0000"/>
      <sz val="9"/>
    </font>
    <font>
      <b val="1"/>
      <color rgb="007030A0"/>
      <sz val="9"/>
    </font>
    <font>
      <b val="1"/>
      <sz val="7"/>
    </font>
    <font>
      <color rgb="00000000"/>
      <sz val="9"/>
    </font>
    <font>
      <b val="1"/>
      <color rgb="001F4E79"/>
      <sz val="9"/>
    </font>
    <font>
      <b val="1"/>
      <color rgb="00FFFFFF"/>
      <sz val="8"/>
    </font>
    <font>
      <color rgb="00FF0000"/>
      <sz val="9"/>
    </font>
    <font>
      <b val="1"/>
      <color rgb="00FF0000"/>
      <sz val="11"/>
    </font>
    <font>
      <color rgb="007030A0"/>
      <sz val="9"/>
    </font>
    <font>
      <b val="1"/>
      <color rgb="007030A0"/>
      <sz val="11"/>
    </font>
    <font>
      <i val="1"/>
      <color rgb="007030A0"/>
      <sz val="9"/>
    </font>
    <font>
      <i val="1"/>
      <sz val="8"/>
    </font>
    <font>
      <i val="1"/>
      <color rgb="00C55A11"/>
      <sz val="9"/>
    </font>
    <font>
      <i val="1"/>
      <color rgb="00833C00"/>
      <sz val="9"/>
    </font>
    <font>
      <b val="1"/>
      <sz val="11"/>
    </font>
    <font>
      <color rgb="00000000"/>
      <sz val="10"/>
    </font>
  </fonts>
  <fills count="4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C0"/>
        <bgColor rgb="00FFFFC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  <fill>
      <patternFill patternType="solid">
        <fgColor rgb="00375623"/>
        <bgColor rgb="00375623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808080"/>
        <bgColor rgb="00808080"/>
      </patternFill>
    </fill>
    <fill>
      <patternFill patternType="solid">
        <fgColor rgb="009DC3E6"/>
        <bgColor rgb="009DC3E6"/>
      </patternFill>
    </fill>
    <fill>
      <patternFill patternType="solid">
        <fgColor rgb="00C55A11"/>
        <bgColor rgb="00C55A11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  <fill>
      <patternFill patternType="solid">
        <fgColor rgb="00F5F9FF"/>
        <bgColor rgb="00F5F9FF"/>
      </patternFill>
    </fill>
    <fill>
      <patternFill patternType="solid">
        <fgColor rgb="00FFFFFF"/>
        <bgColor rgb="00FFFFFF"/>
      </patternFill>
    </fill>
    <fill>
      <patternFill patternType="solid">
        <fgColor rgb="00A9D18E"/>
        <bgColor rgb="00A9D18E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FDE9D9"/>
        <bgColor rgb="00FDE9D9"/>
      </patternFill>
    </fill>
    <fill>
      <patternFill patternType="solid">
        <fgColor rgb="00FFE0E0"/>
        <bgColor rgb="00FFE0E0"/>
      </patternFill>
    </fill>
    <fill>
      <patternFill patternType="solid">
        <fgColor rgb="00EBD6FF"/>
        <bgColor rgb="00EBD6FF"/>
      </patternFill>
    </fill>
    <fill>
      <patternFill patternType="solid">
        <fgColor rgb="00174597"/>
        <bgColor rgb="00174597"/>
      </patternFill>
    </fill>
    <fill>
      <patternFill patternType="solid">
        <fgColor rgb="00F7F7F7"/>
        <bgColor rgb="00F7F7F7"/>
      </patternFill>
    </fill>
    <fill>
      <patternFill patternType="solid">
        <fgColor rgb="00C05004"/>
        <bgColor rgb="00C05004"/>
      </patternFill>
    </fill>
    <fill>
      <patternFill patternType="solid">
        <fgColor rgb="0043801A"/>
        <bgColor rgb="0043801A"/>
      </patternFill>
    </fill>
    <fill>
      <patternFill patternType="solid">
        <fgColor rgb="00EAD1FF"/>
        <bgColor rgb="00EAD1FF"/>
      </patternFill>
    </fill>
    <fill>
      <patternFill patternType="solid">
        <fgColor rgb="00833C00"/>
        <bgColor rgb="00833C00"/>
      </patternFill>
    </fill>
    <fill>
      <patternFill patternType="solid">
        <fgColor rgb="00F4B183"/>
        <bgColor rgb="00F4B183"/>
      </patternFill>
    </fill>
    <fill>
      <patternFill patternType="solid">
        <fgColor rgb="00404040"/>
        <bgColor rgb="0040404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left" vertical="center"/>
    </xf>
    <xf numFmtId="167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/>
    </xf>
    <xf numFmtId="0" fontId="10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/>
    </xf>
    <xf numFmtId="0" fontId="10" fillId="17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/>
    </xf>
    <xf numFmtId="0" fontId="10" fillId="1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/>
    </xf>
    <xf numFmtId="0" fontId="10" fillId="19" borderId="1" applyAlignment="1" pivotButton="0" quotePrefix="0" xfId="0">
      <alignment horizontal="center" vertical="center"/>
    </xf>
    <xf numFmtId="165" fontId="5" fillId="22" borderId="1" applyAlignment="1" pivotButton="0" quotePrefix="0" xfId="0">
      <alignment vertical="center"/>
    </xf>
    <xf numFmtId="49" fontId="5" fillId="22" borderId="1" applyAlignment="1" pivotButton="0" quotePrefix="0" xfId="0">
      <alignment vertical="center"/>
    </xf>
    <xf numFmtId="0" fontId="3" fillId="12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2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49" fontId="5" fillId="24" borderId="1" applyAlignment="1" pivotButton="0" quotePrefix="0" xfId="0">
      <alignment horizontal="center" vertical="center"/>
    </xf>
    <xf numFmtId="49" fontId="5" fillId="24" borderId="1" applyAlignment="1" pivotButton="0" quotePrefix="0" xfId="0">
      <alignment horizontal="left" vertical="center"/>
    </xf>
    <xf numFmtId="9" fontId="5" fillId="24" borderId="1" applyAlignment="1" pivotButton="0" quotePrefix="0" xfId="0">
      <alignment horizontal="center" vertical="center"/>
    </xf>
    <xf numFmtId="4" fontId="5" fillId="24" borderId="1" applyAlignment="1" pivotButton="0" quotePrefix="0" xfId="0">
      <alignment horizontal="right" vertical="center"/>
    </xf>
    <xf numFmtId="49" fontId="5" fillId="7" borderId="1" applyAlignment="1" pivotButton="0" quotePrefix="0" xfId="0">
      <alignment horizontal="center" vertical="center"/>
    </xf>
    <xf numFmtId="49" fontId="5" fillId="25" borderId="1" applyAlignment="1" pivotButton="0" quotePrefix="0" xfId="0">
      <alignment horizontal="center" vertical="center"/>
    </xf>
    <xf numFmtId="49" fontId="5" fillId="25" borderId="1" applyAlignment="1" pivotButton="0" quotePrefix="0" xfId="0">
      <alignment horizontal="left" vertical="center"/>
    </xf>
    <xf numFmtId="9" fontId="5" fillId="25" borderId="1" applyAlignment="1" pivotButton="0" quotePrefix="0" xfId="0">
      <alignment horizontal="center" vertical="center"/>
    </xf>
    <xf numFmtId="4" fontId="5" fillId="25" borderId="1" applyAlignment="1" pivotButton="0" quotePrefix="0" xfId="0">
      <alignment horizontal="right" vertical="center"/>
    </xf>
    <xf numFmtId="49" fontId="5" fillId="9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49" fontId="5" fillId="27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49" fontId="5" fillId="28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13" fillId="3" borderId="0" pivotButton="0" quotePrefix="0" xfId="0"/>
    <xf numFmtId="9" fontId="14" fillId="3" borderId="0" pivotButton="0" quotePrefix="0" xfId="0"/>
    <xf numFmtId="4" fontId="14" fillId="3" borderId="0" pivotButton="0" quotePrefix="0" xfId="0"/>
    <xf numFmtId="0" fontId="11" fillId="13" borderId="0" applyAlignment="1" pivotButton="0" quotePrefix="0" xfId="0">
      <alignment horizontal="center" vertical="center"/>
    </xf>
    <xf numFmtId="0" fontId="15" fillId="30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1" fontId="10" fillId="31" borderId="1" applyAlignment="1" pivotButton="0" quotePrefix="0" xfId="0">
      <alignment horizontal="center" vertical="center"/>
    </xf>
    <xf numFmtId="49" fontId="10" fillId="31" borderId="1" applyAlignment="1" pivotButton="0" quotePrefix="0" xfId="0">
      <alignment horizontal="left" vertical="center"/>
    </xf>
    <xf numFmtId="49" fontId="4" fillId="31" borderId="1" applyAlignment="1" pivotButton="0" quotePrefix="0" xfId="0">
      <alignment horizontal="left" vertical="center"/>
    </xf>
    <xf numFmtId="165" fontId="10" fillId="31" borderId="1" applyAlignment="1" pivotButton="0" quotePrefix="0" xfId="0">
      <alignment horizontal="center" vertical="center"/>
    </xf>
    <xf numFmtId="9" fontId="10" fillId="31" borderId="1" applyAlignment="1" pivotButton="0" quotePrefix="0" xfId="0">
      <alignment horizontal="center" vertical="center"/>
    </xf>
    <xf numFmtId="3" fontId="10" fillId="31" borderId="1" applyAlignment="1" pivotButton="0" quotePrefix="0" xfId="0">
      <alignment horizontal="right" vertical="center"/>
    </xf>
    <xf numFmtId="1" fontId="10" fillId="32" borderId="1" applyAlignment="1" pivotButton="0" quotePrefix="0" xfId="0">
      <alignment horizontal="center" vertical="center"/>
    </xf>
    <xf numFmtId="49" fontId="10" fillId="32" borderId="1" applyAlignment="1" pivotButton="0" quotePrefix="0" xfId="0">
      <alignment horizontal="left" vertical="center"/>
    </xf>
    <xf numFmtId="165" fontId="10" fillId="32" borderId="1" applyAlignment="1" pivotButton="0" quotePrefix="0" xfId="0">
      <alignment horizontal="center" vertical="center"/>
    </xf>
    <xf numFmtId="9" fontId="10" fillId="32" borderId="1" applyAlignment="1" pivotButton="0" quotePrefix="0" xfId="0">
      <alignment horizontal="center" vertical="center"/>
    </xf>
    <xf numFmtId="3" fontId="10" fillId="32" borderId="1" applyAlignment="1" pivotButton="0" quotePrefix="0" xfId="0">
      <alignment horizontal="right" vertical="center"/>
    </xf>
    <xf numFmtId="1" fontId="10" fillId="30" borderId="1" applyAlignment="1" pivotButton="0" quotePrefix="0" xfId="0">
      <alignment horizontal="center" vertical="center"/>
    </xf>
    <xf numFmtId="49" fontId="10" fillId="30" borderId="1" applyAlignment="1" pivotButton="0" quotePrefix="0" xfId="0">
      <alignment horizontal="left" vertical="center"/>
    </xf>
    <xf numFmtId="165" fontId="10" fillId="30" borderId="1" applyAlignment="1" pivotButton="0" quotePrefix="0" xfId="0">
      <alignment horizontal="center" vertical="center"/>
    </xf>
    <xf numFmtId="9" fontId="10" fillId="30" borderId="1" applyAlignment="1" pivotButton="0" quotePrefix="0" xfId="0">
      <alignment horizontal="center" vertical="center"/>
    </xf>
    <xf numFmtId="3" fontId="10" fillId="30" borderId="1" applyAlignment="1" pivotButton="0" quotePrefix="0" xfId="0">
      <alignment horizontal="right" vertical="center"/>
    </xf>
    <xf numFmtId="1" fontId="10" fillId="33" borderId="1" applyAlignment="1" pivotButton="0" quotePrefix="0" xfId="0">
      <alignment horizontal="center" vertical="center"/>
    </xf>
    <xf numFmtId="49" fontId="10" fillId="33" borderId="1" applyAlignment="1" pivotButton="0" quotePrefix="0" xfId="0">
      <alignment horizontal="left" vertical="center"/>
    </xf>
    <xf numFmtId="49" fontId="18" fillId="33" borderId="1" applyAlignment="1" pivotButton="0" quotePrefix="0" xfId="0">
      <alignment horizontal="left" vertical="center"/>
    </xf>
    <xf numFmtId="165" fontId="10" fillId="33" borderId="1" applyAlignment="1" pivotButton="0" quotePrefix="0" xfId="0">
      <alignment horizontal="center" vertical="center"/>
    </xf>
    <xf numFmtId="9" fontId="10" fillId="33" borderId="1" applyAlignment="1" pivotButton="0" quotePrefix="0" xfId="0">
      <alignment horizontal="center" vertical="center"/>
    </xf>
    <xf numFmtId="3" fontId="10" fillId="33" borderId="1" applyAlignment="1" pivotButton="0" quotePrefix="0" xfId="0">
      <alignment horizontal="right" vertical="center"/>
    </xf>
    <xf numFmtId="1" fontId="10" fillId="34" borderId="1" applyAlignment="1" pivotButton="0" quotePrefix="0" xfId="0">
      <alignment horizontal="center" vertical="center"/>
    </xf>
    <xf numFmtId="49" fontId="10" fillId="34" borderId="1" applyAlignment="1" pivotButton="0" quotePrefix="0" xfId="0">
      <alignment horizontal="left" vertical="center"/>
    </xf>
    <xf numFmtId="49" fontId="19" fillId="34" borderId="1" applyAlignment="1" pivotButton="0" quotePrefix="0" xfId="0">
      <alignment horizontal="left" vertical="center"/>
    </xf>
    <xf numFmtId="165" fontId="10" fillId="34" borderId="1" applyAlignment="1" pivotButton="0" quotePrefix="0" xfId="0">
      <alignment horizontal="center" vertical="center"/>
    </xf>
    <xf numFmtId="9" fontId="10" fillId="34" borderId="1" applyAlignment="1" pivotButton="0" quotePrefix="0" xfId="0">
      <alignment horizontal="center" vertical="center"/>
    </xf>
    <xf numFmtId="3" fontId="10" fillId="34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center"/>
    </xf>
    <xf numFmtId="0" fontId="0" fillId="0" borderId="4" pivotButton="0" quotePrefix="0" xfId="0"/>
    <xf numFmtId="0" fontId="8" fillId="9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8" fillId="1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1" fontId="21" fillId="31" borderId="1" applyAlignment="1" pivotButton="0" quotePrefix="0" xfId="0">
      <alignment horizontal="center" vertical="center"/>
    </xf>
    <xf numFmtId="49" fontId="21" fillId="31" borderId="1" applyAlignment="1" pivotButton="0" quotePrefix="0" xfId="0">
      <alignment horizontal="left" vertical="center"/>
    </xf>
    <xf numFmtId="49" fontId="22" fillId="31" borderId="1" applyAlignment="1" pivotButton="0" quotePrefix="0" xfId="0">
      <alignment horizontal="left" vertical="center"/>
    </xf>
    <xf numFmtId="168" fontId="21" fillId="31" borderId="1" applyAlignment="1" pivotButton="0" quotePrefix="0" xfId="0">
      <alignment horizontal="center" vertical="center"/>
    </xf>
    <xf numFmtId="9" fontId="21" fillId="31" borderId="1" applyAlignment="1" pivotButton="0" quotePrefix="0" xfId="0">
      <alignment horizontal="center" vertical="center"/>
    </xf>
    <xf numFmtId="0" fontId="23" fillId="35" borderId="1" applyAlignment="1" pivotButton="0" quotePrefix="0" xfId="0">
      <alignment horizontal="center" vertical="center"/>
    </xf>
    <xf numFmtId="0" fontId="0" fillId="36" borderId="1" pivotButton="0" quotePrefix="0" xfId="0"/>
    <xf numFmtId="0" fontId="0" fillId="25" borderId="1" pivotButton="0" quotePrefix="0" xfId="0"/>
    <xf numFmtId="1" fontId="21" fillId="32" borderId="1" applyAlignment="1" pivotButton="0" quotePrefix="0" xfId="0">
      <alignment horizontal="center" vertical="center"/>
    </xf>
    <xf numFmtId="49" fontId="21" fillId="32" borderId="1" applyAlignment="1" pivotButton="0" quotePrefix="0" xfId="0">
      <alignment horizontal="left" vertical="center"/>
    </xf>
    <xf numFmtId="168" fontId="21" fillId="32" borderId="1" applyAlignment="1" pivotButton="0" quotePrefix="0" xfId="0">
      <alignment horizontal="center" vertical="center"/>
    </xf>
    <xf numFmtId="9" fontId="21" fillId="32" borderId="1" applyAlignment="1" pivotButton="0" quotePrefix="0" xfId="0">
      <alignment horizontal="center" vertical="center"/>
    </xf>
    <xf numFmtId="0" fontId="23" fillId="37" borderId="1" applyAlignment="1" pivotButton="0" quotePrefix="0" xfId="0">
      <alignment horizontal="center" vertical="center"/>
    </xf>
    <xf numFmtId="1" fontId="21" fillId="30" borderId="1" applyAlignment="1" pivotButton="0" quotePrefix="0" xfId="0">
      <alignment horizontal="center" vertical="center"/>
    </xf>
    <xf numFmtId="49" fontId="21" fillId="30" borderId="1" applyAlignment="1" pivotButton="0" quotePrefix="0" xfId="0">
      <alignment horizontal="left" vertical="center"/>
    </xf>
    <xf numFmtId="168" fontId="21" fillId="30" borderId="1" applyAlignment="1" pivotButton="0" quotePrefix="0" xfId="0">
      <alignment horizontal="center" vertical="center"/>
    </xf>
    <xf numFmtId="9" fontId="21" fillId="30" borderId="1" applyAlignment="1" pivotButton="0" quotePrefix="0" xfId="0">
      <alignment horizontal="center" vertical="center"/>
    </xf>
    <xf numFmtId="0" fontId="23" fillId="38" borderId="1" applyAlignment="1" pivotButton="0" quotePrefix="0" xfId="0">
      <alignment horizontal="center" vertical="center"/>
    </xf>
    <xf numFmtId="1" fontId="21" fillId="33" borderId="1" applyAlignment="1" pivotButton="0" quotePrefix="0" xfId="0">
      <alignment horizontal="center" vertical="center"/>
    </xf>
    <xf numFmtId="49" fontId="21" fillId="33" borderId="1" applyAlignment="1" pivotButton="0" quotePrefix="0" xfId="0">
      <alignment horizontal="left" vertical="center"/>
    </xf>
    <xf numFmtId="49" fontId="24" fillId="33" borderId="1" applyAlignment="1" pivotButton="0" quotePrefix="0" xfId="0">
      <alignment horizontal="left" vertical="center"/>
    </xf>
    <xf numFmtId="168" fontId="21" fillId="33" borderId="1" applyAlignment="1" pivotButton="0" quotePrefix="0" xfId="0">
      <alignment horizontal="center" vertical="center"/>
    </xf>
    <xf numFmtId="9" fontId="21" fillId="33" borderId="1" applyAlignment="1" pivotButton="0" quotePrefix="0" xfId="0">
      <alignment horizontal="center" vertical="center"/>
    </xf>
    <xf numFmtId="0" fontId="25" fillId="33" borderId="1" applyAlignment="1" pivotButton="0" quotePrefix="0" xfId="0">
      <alignment horizontal="center" vertical="center"/>
    </xf>
    <xf numFmtId="0" fontId="0" fillId="35" borderId="1" pivotButton="0" quotePrefix="0" xfId="0"/>
    <xf numFmtId="0" fontId="0" fillId="7" borderId="1" pivotButton="0" quotePrefix="0" xfId="0"/>
    <xf numFmtId="0" fontId="0" fillId="37" borderId="1" pivotButton="0" quotePrefix="0" xfId="0"/>
    <xf numFmtId="0" fontId="0" fillId="9" borderId="1" pivotButton="0" quotePrefix="0" xfId="0"/>
    <xf numFmtId="0" fontId="0" fillId="38" borderId="1" pivotButton="0" quotePrefix="0" xfId="0"/>
    <xf numFmtId="0" fontId="0" fillId="10" borderId="1" pivotButton="0" quotePrefix="0" xfId="0"/>
    <xf numFmtId="1" fontId="21" fillId="34" borderId="1" applyAlignment="1" pivotButton="0" quotePrefix="0" xfId="0">
      <alignment horizontal="center" vertical="center"/>
    </xf>
    <xf numFmtId="49" fontId="21" fillId="34" borderId="1" applyAlignment="1" pivotButton="0" quotePrefix="0" xfId="0">
      <alignment horizontal="left" vertical="center"/>
    </xf>
    <xf numFmtId="49" fontId="26" fillId="34" borderId="1" applyAlignment="1" pivotButton="0" quotePrefix="0" xfId="0">
      <alignment horizontal="left" vertical="center"/>
    </xf>
    <xf numFmtId="168" fontId="21" fillId="34" borderId="1" applyAlignment="1" pivotButton="0" quotePrefix="0" xfId="0">
      <alignment horizontal="center" vertical="center"/>
    </xf>
    <xf numFmtId="9" fontId="21" fillId="34" borderId="1" applyAlignment="1" pivotButton="0" quotePrefix="0" xfId="0">
      <alignment horizontal="center" vertical="center"/>
    </xf>
    <xf numFmtId="0" fontId="27" fillId="34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28" fillId="39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29" fillId="39" borderId="1" applyAlignment="1" pivotButton="0" quotePrefix="0" xfId="0">
      <alignment horizontal="center"/>
    </xf>
    <xf numFmtId="0" fontId="10" fillId="31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left" vertical="center"/>
    </xf>
    <xf numFmtId="9" fontId="10" fillId="16" borderId="1" applyAlignment="1" pivotButton="0" quotePrefix="0" xfId="0">
      <alignment horizontal="center" vertical="center"/>
    </xf>
    <xf numFmtId="9" fontId="16" fillId="0" borderId="1" applyAlignment="1" pivotButton="0" quotePrefix="0" xfId="0">
      <alignment horizontal="center"/>
    </xf>
    <xf numFmtId="0" fontId="10" fillId="25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left" vertical="center"/>
    </xf>
    <xf numFmtId="0" fontId="10" fillId="30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left" vertical="center"/>
    </xf>
    <xf numFmtId="0" fontId="10" fillId="33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left" vertical="center"/>
    </xf>
    <xf numFmtId="0" fontId="10" fillId="32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left" vertical="center"/>
    </xf>
    <xf numFmtId="0" fontId="10" fillId="34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left" vertical="center"/>
    </xf>
    <xf numFmtId="9" fontId="13" fillId="3" borderId="1" applyAlignment="1" pivotButton="0" quotePrefix="0" xfId="0">
      <alignment horizontal="center"/>
    </xf>
    <xf numFmtId="0" fontId="11" fillId="21" borderId="0" applyAlignment="1" pivotButton="0" quotePrefix="0" xfId="0">
      <alignment horizontal="center" vertical="center"/>
    </xf>
    <xf numFmtId="0" fontId="30" fillId="18" borderId="0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 wrapText="1"/>
    </xf>
    <xf numFmtId="166" fontId="10" fillId="30" borderId="1" applyAlignment="1" pivotButton="0" quotePrefix="0" xfId="0">
      <alignment horizontal="center"/>
    </xf>
    <xf numFmtId="166" fontId="10" fillId="25" borderId="1" applyAlignment="1" pivotButton="0" quotePrefix="0" xfId="0">
      <alignment horizontal="center"/>
    </xf>
    <xf numFmtId="166" fontId="16" fillId="23" borderId="1" applyAlignment="1" pivotButton="0" quotePrefix="0" xfId="0">
      <alignment horizontal="center"/>
    </xf>
    <xf numFmtId="0" fontId="10" fillId="22" borderId="1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166" fontId="10" fillId="22" borderId="1" applyAlignment="1" pivotButton="0" quotePrefix="0" xfId="0">
      <alignment horizontal="center"/>
    </xf>
    <xf numFmtId="0" fontId="5" fillId="0" borderId="1" pivotButton="0" quotePrefix="0" xfId="0"/>
    <xf numFmtId="166" fontId="13" fillId="0" borderId="1" applyAlignment="1" pivotButton="0" quotePrefix="0" xfId="0">
      <alignment horizontal="right"/>
    </xf>
    <xf numFmtId="0" fontId="11" fillId="40" borderId="0" applyAlignment="1" pivotButton="0" quotePrefix="0" xfId="0">
      <alignment horizontal="center" vertical="center"/>
    </xf>
    <xf numFmtId="0" fontId="31" fillId="41" borderId="0" applyAlignment="1" pivotButton="0" quotePrefix="0" xfId="0">
      <alignment horizontal="center" vertical="center"/>
    </xf>
    <xf numFmtId="0" fontId="3" fillId="40" borderId="1" applyAlignment="1" pivotButton="0" quotePrefix="0" xfId="0">
      <alignment horizontal="left" vertical="center"/>
    </xf>
    <xf numFmtId="4" fontId="32" fillId="6" borderId="1" applyAlignment="1" pivotButton="0" quotePrefix="0" xfId="0">
      <alignment horizontal="right"/>
    </xf>
    <xf numFmtId="0" fontId="5" fillId="22" borderId="1" applyAlignment="1" pivotButton="0" quotePrefix="0" xfId="0">
      <alignment horizontal="left" vertical="center"/>
    </xf>
    <xf numFmtId="4" fontId="5" fillId="22" borderId="1" applyAlignment="1" pivotButton="0" quotePrefix="0" xfId="0">
      <alignment horizontal="right" vertical="center"/>
    </xf>
    <xf numFmtId="166" fontId="5" fillId="22" borderId="1" applyAlignment="1" pivotButton="0" quotePrefix="0" xfId="0">
      <alignment horizontal="right" vertical="center"/>
    </xf>
    <xf numFmtId="0" fontId="5" fillId="25" borderId="1" applyAlignment="1" pivotButton="0" quotePrefix="0" xfId="0">
      <alignment horizontal="left" vertical="center"/>
    </xf>
    <xf numFmtId="166" fontId="5" fillId="25" borderId="1" applyAlignment="1" pivotButton="0" quotePrefix="0" xfId="0">
      <alignment horizontal="right" vertical="center"/>
    </xf>
    <xf numFmtId="10" fontId="32" fillId="6" borderId="1" applyAlignment="1" pivotButton="0" quotePrefix="0" xfId="0">
      <alignment horizontal="right"/>
    </xf>
    <xf numFmtId="169" fontId="10" fillId="31" borderId="1" applyAlignment="1" pivotButton="0" quotePrefix="0" xfId="0">
      <alignment horizontal="center" vertical="center"/>
    </xf>
    <xf numFmtId="1" fontId="10" fillId="25" borderId="1" applyAlignment="1" pivotButton="0" quotePrefix="0" xfId="0">
      <alignment horizontal="center" vertical="center"/>
    </xf>
    <xf numFmtId="49" fontId="10" fillId="25" borderId="1" applyAlignment="1" pivotButton="0" quotePrefix="0" xfId="0">
      <alignment horizontal="left" vertical="center"/>
    </xf>
    <xf numFmtId="165" fontId="10" fillId="25" borderId="1" applyAlignment="1" pivotButton="0" quotePrefix="0" xfId="0">
      <alignment horizontal="center" vertical="center"/>
    </xf>
    <xf numFmtId="3" fontId="10" fillId="25" borderId="1" applyAlignment="1" pivotButton="0" quotePrefix="0" xfId="0">
      <alignment horizontal="right" vertical="center"/>
    </xf>
    <xf numFmtId="169" fontId="10" fillId="25" borderId="1" applyAlignment="1" pivotButton="0" quotePrefix="0" xfId="0">
      <alignment horizontal="center" vertical="center"/>
    </xf>
    <xf numFmtId="169" fontId="10" fillId="30" borderId="1" applyAlignment="1" pivotButton="0" quotePrefix="0" xfId="0">
      <alignment horizontal="center" vertical="center"/>
    </xf>
    <xf numFmtId="169" fontId="10" fillId="33" borderId="1" applyAlignment="1" pivotButton="0" quotePrefix="0" xfId="0">
      <alignment horizontal="center" vertical="center"/>
    </xf>
    <xf numFmtId="169" fontId="10" fillId="32" borderId="1" applyAlignment="1" pivotButton="0" quotePrefix="0" xfId="0">
      <alignment horizontal="center" vertical="center"/>
    </xf>
    <xf numFmtId="169" fontId="10" fillId="34" borderId="1" applyAlignment="1" pivotButton="0" quotePrefix="0" xfId="0">
      <alignment horizontal="center" vertical="center"/>
    </xf>
    <xf numFmtId="0" fontId="14" fillId="3" borderId="0" pivotButton="0" quotePrefix="0" xfId="0"/>
    <xf numFmtId="3" fontId="13" fillId="3" borderId="1" applyAlignment="1" pivotButton="0" quotePrefix="0" xfId="0">
      <alignment horizontal="right"/>
    </xf>
    <xf numFmtId="0" fontId="11" fillId="42" borderId="0" applyAlignment="1" pivotButton="0" quotePrefix="0" xfId="0">
      <alignment horizontal="center" vertical="center"/>
    </xf>
    <xf numFmtId="0" fontId="7" fillId="42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vertical="center"/>
    </xf>
    <xf numFmtId="49" fontId="5" fillId="8" borderId="1" applyAlignment="1" pivotButton="0" quotePrefix="0" xfId="0">
      <alignment vertical="center"/>
    </xf>
    <xf numFmtId="0" fontId="7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3" fillId="5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8">
    <dxf>
      <font>
        <sz val="9"/>
      </font>
      <fill>
        <patternFill patternType="solid">
          <fgColor rgb="00D9D9D9"/>
          <bgColor rgb="00D9D9D9"/>
        </patternFill>
      </fill>
    </dxf>
    <dxf>
      <font>
        <sz val="9"/>
      </font>
      <fill>
        <patternFill patternType="solid">
          <fgColor rgb="00BDD7EE"/>
          <bgColor rgb="00BDD7EE"/>
        </patternFill>
      </fill>
    </dxf>
    <dxf>
      <font>
        <sz val="9"/>
      </font>
      <fill>
        <patternFill patternType="solid">
          <fgColor rgb="00FFEB9C"/>
          <bgColor rgb="00FFEB9C"/>
        </patternFill>
      </fill>
    </dxf>
    <dxf>
      <font>
        <sz val="9"/>
      </font>
      <fill>
        <patternFill patternType="solid">
          <fgColor rgb="00C6EFCE"/>
          <bgColor rgb="00C6EFCE"/>
        </patternFill>
      </fill>
    </dxf>
    <dxf>
      <font>
        <sz val="9"/>
      </font>
      <fill>
        <patternFill patternType="solid">
          <fgColor rgb="00FFC7CE"/>
          <bgColor rgb="00FFC7CE"/>
        </patternFill>
      </fill>
    </dxf>
    <dxf>
      <font>
        <sz val="9"/>
      </font>
      <fill>
        <patternFill patternType="solid">
          <fgColor rgb="00FCE4D6"/>
          <bgColor rgb="00FCE4D6"/>
        </patternFill>
      </fill>
    </dxf>
    <dxf>
      <font>
        <sz val="9"/>
      </font>
      <fill>
        <patternFill patternType="solid">
          <fgColor rgb="00808080"/>
          <bgColor rgb="00808080"/>
        </patternFill>
      </fill>
    </dxf>
    <dxf>
      <font>
        <sz val="9"/>
      </font>
      <fill>
        <patternFill patternType="solid">
          <fgColor rgb="00FF0000"/>
          <bgColor rgb="00FF0000"/>
        </patternFill>
      </fill>
    </dxf>
    <dxf>
      <font>
        <color rgb="009C0006"/>
        <sz val="9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808080"/>
          <bgColor rgb="00808080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276221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" customWidth="1" min="3" max="3"/>
    <col width="2" customWidth="1" min="4" max="4"/>
    <col width="18" customWidth="1" min="5" max="5"/>
    <col width="30" customWidth="1" min="6" max="6"/>
    <col width="16" customWidth="1" min="7" max="7"/>
    <col width="2" customWidth="1" min="8" max="8"/>
    <col width="5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" t="inlineStr">
        <is>
          <t>⚙  PROJECT GANTT – CONFIGURATION CENTRE</t>
        </is>
      </c>
    </row>
    <row r="2" ht="18" customHeight="1">
      <c r="A2" s="2" t="inlineStr">
        <is>
          <t>Yellow cells are editable.  All other sheets read their settings from this page via named ranges.  Do NOT rename this sheet.</t>
        </is>
      </c>
    </row>
    <row r="4" ht="22" customHeight="1">
      <c r="A4" s="3" t="inlineStr">
        <is>
          <t>A  |  PROJECT INFORMATION</t>
        </is>
      </c>
      <c r="E4" s="3" t="inlineStr">
        <is>
          <t>WORKING DAYS</t>
        </is>
      </c>
      <c r="I4" s="3" t="inlineStr">
        <is>
          <t>B  |  ITEM TYPES  ← bar colours drive the Gantt chart</t>
        </is>
      </c>
    </row>
    <row r="5">
      <c r="A5" s="4" t="inlineStr">
        <is>
          <t>Project Name</t>
        </is>
      </c>
      <c r="B5" s="5" t="inlineStr">
        <is>
          <t>Project Alpha</t>
        </is>
      </c>
      <c r="E5" s="4" t="inlineStr">
        <is>
          <t>Mon</t>
        </is>
      </c>
      <c r="F5" s="6" t="n">
        <v>1</v>
      </c>
      <c r="I5" s="7" t="inlineStr">
        <is>
          <t>#</t>
        </is>
      </c>
      <c r="J5" s="7" t="inlineStr">
        <is>
          <t>Name</t>
        </is>
      </c>
      <c r="K5" s="7" t="inlineStr">
        <is>
          <t>Bar Colour
(HEX)</t>
        </is>
      </c>
      <c r="L5" s="7" t="inlineStr">
        <is>
          <t>Text Colour
(HEX)</t>
        </is>
      </c>
      <c r="M5" s="7" t="inlineStr">
        <is>
          <t>Row BG
(HEX)</t>
        </is>
      </c>
      <c r="N5" s="7" t="inlineStr">
        <is>
          <t>Preview</t>
        </is>
      </c>
    </row>
    <row r="6">
      <c r="A6" s="4" t="inlineStr">
        <is>
          <t>Project Manager</t>
        </is>
      </c>
      <c r="B6" s="5" t="inlineStr">
        <is>
          <t>Alice Johnson</t>
        </is>
      </c>
      <c r="E6" s="4" t="inlineStr">
        <is>
          <t>Tue</t>
        </is>
      </c>
      <c r="F6" s="6" t="n">
        <v>1</v>
      </c>
      <c r="I6" s="8" t="n">
        <v>1</v>
      </c>
      <c r="J6" s="9" t="inlineStr">
        <is>
          <t>Epic</t>
        </is>
      </c>
      <c r="K6" s="10" t="inlineStr">
        <is>
          <t>4472C4</t>
        </is>
      </c>
      <c r="L6" s="10" t="inlineStr">
        <is>
          <t>FFFFFF</t>
        </is>
      </c>
      <c r="M6" s="10" t="inlineStr">
        <is>
          <t>DDEEFF</t>
        </is>
      </c>
      <c r="N6" s="11" t="inlineStr">
        <is>
          <t>Epic</t>
        </is>
      </c>
    </row>
    <row r="7">
      <c r="A7" s="4" t="inlineStr">
        <is>
          <t>Version</t>
        </is>
      </c>
      <c r="B7" s="5" t="inlineStr">
        <is>
          <t>1.0</t>
        </is>
      </c>
      <c r="E7" s="4" t="inlineStr">
        <is>
          <t>Wed</t>
        </is>
      </c>
      <c r="F7" s="6" t="n">
        <v>1</v>
      </c>
      <c r="I7" s="8" t="n">
        <v>2</v>
      </c>
      <c r="J7" s="12" t="inlineStr">
        <is>
          <t>Feature</t>
        </is>
      </c>
      <c r="K7" s="10" t="inlineStr">
        <is>
          <t>ED7D31</t>
        </is>
      </c>
      <c r="L7" s="10" t="inlineStr">
        <is>
          <t>000000</t>
        </is>
      </c>
      <c r="M7" s="10" t="inlineStr">
        <is>
          <t>FDE9D9</t>
        </is>
      </c>
      <c r="N7" s="13" t="inlineStr">
        <is>
          <t>Feature</t>
        </is>
      </c>
    </row>
    <row r="8">
      <c r="A8" s="4" t="inlineStr">
        <is>
          <t>Department / PMO</t>
        </is>
      </c>
      <c r="B8" s="5" t="inlineStr">
        <is>
          <t>PMO</t>
        </is>
      </c>
      <c r="E8" s="4" t="inlineStr">
        <is>
          <t>Thu</t>
        </is>
      </c>
      <c r="F8" s="6" t="n">
        <v>1</v>
      </c>
      <c r="I8" s="8" t="n">
        <v>3</v>
      </c>
      <c r="J8" s="14" t="inlineStr">
        <is>
          <t>Task</t>
        </is>
      </c>
      <c r="K8" s="10" t="inlineStr">
        <is>
          <t>70AD47</t>
        </is>
      </c>
      <c r="L8" s="10" t="inlineStr">
        <is>
          <t>000000</t>
        </is>
      </c>
      <c r="M8" s="10" t="inlineStr">
        <is>
          <t>E2EFDA</t>
        </is>
      </c>
      <c r="N8" s="15" t="inlineStr">
        <is>
          <t>Task</t>
        </is>
      </c>
    </row>
    <row r="9">
      <c r="A9" s="4" t="inlineStr">
        <is>
          <t>Start Date</t>
        </is>
      </c>
      <c r="B9" s="16" t="n">
        <v>45663</v>
      </c>
      <c r="E9" s="4" t="inlineStr">
        <is>
          <t>Fri</t>
        </is>
      </c>
      <c r="F9" s="6" t="n">
        <v>1</v>
      </c>
      <c r="I9" s="8" t="n">
        <v>4</v>
      </c>
      <c r="J9" s="17" t="inlineStr">
        <is>
          <t>Milestone</t>
        </is>
      </c>
      <c r="K9" s="10" t="inlineStr">
        <is>
          <t>FF0000</t>
        </is>
      </c>
      <c r="L9" s="10" t="inlineStr">
        <is>
          <t>FFFFFF</t>
        </is>
      </c>
      <c r="M9" s="10" t="inlineStr">
        <is>
          <t>FFE0E0</t>
        </is>
      </c>
      <c r="N9" s="18" t="inlineStr">
        <is>
          <t>Milestone</t>
        </is>
      </c>
    </row>
    <row r="10">
      <c r="A10" s="4" t="inlineStr">
        <is>
          <t>End Date</t>
        </is>
      </c>
      <c r="B10" s="16" t="n">
        <v>46022</v>
      </c>
      <c r="E10" s="4" t="inlineStr">
        <is>
          <t>Sat</t>
        </is>
      </c>
      <c r="F10" s="6" t="n">
        <v>0</v>
      </c>
      <c r="I10" s="8" t="n">
        <v>5</v>
      </c>
      <c r="J10" s="19" t="inlineStr">
        <is>
          <t>Deliverable</t>
        </is>
      </c>
      <c r="K10" s="10" t="inlineStr">
        <is>
          <t>7030A0</t>
        </is>
      </c>
      <c r="L10" s="10" t="inlineStr">
        <is>
          <t>000000</t>
        </is>
      </c>
      <c r="M10" s="10" t="inlineStr">
        <is>
          <t>EBD6FF</t>
        </is>
      </c>
      <c r="N10" s="20" t="inlineStr">
        <is>
          <t>Deliverable</t>
        </is>
      </c>
    </row>
    <row r="11">
      <c r="A11" s="4" t="inlineStr">
        <is>
          <t>Working Hours / Day</t>
        </is>
      </c>
      <c r="B11" s="21" t="n">
        <v>8</v>
      </c>
      <c r="E11" s="4" t="inlineStr">
        <is>
          <t>Sun</t>
        </is>
      </c>
      <c r="F11" s="6" t="n">
        <v>0</v>
      </c>
    </row>
    <row r="12">
      <c r="A12" s="4" t="inlineStr">
        <is>
          <t>Currency</t>
        </is>
      </c>
      <c r="B12" s="5" t="inlineStr">
        <is>
          <t>USD</t>
        </is>
      </c>
      <c r="I12" s="22" t="inlineStr">
        <is>
          <t>C  |  STATUSES  ← colours drive conditional formatting</t>
        </is>
      </c>
    </row>
    <row r="13">
      <c r="A13" s="4" t="inlineStr">
        <is>
          <t>Gantt View Type</t>
        </is>
      </c>
      <c r="B13" s="5" t="inlineStr">
        <is>
          <t>Weekly</t>
        </is>
      </c>
      <c r="I13" s="23" t="inlineStr">
        <is>
          <t>#</t>
        </is>
      </c>
      <c r="J13" s="23" t="inlineStr">
        <is>
          <t>Name</t>
        </is>
      </c>
      <c r="K13" s="23" t="inlineStr">
        <is>
          <t>Colour
(HEX)</t>
        </is>
      </c>
      <c r="L13" s="23" t="inlineStr">
        <is>
          <t>Font Colour
(HEX)</t>
        </is>
      </c>
      <c r="M13" s="23" t="inlineStr">
        <is>
          <t>—</t>
        </is>
      </c>
      <c r="N13" s="23" t="inlineStr">
        <is>
          <t>Preview</t>
        </is>
      </c>
    </row>
    <row r="14">
      <c r="A14" s="4" t="inlineStr">
        <is>
          <t>Total Budget</t>
        </is>
      </c>
      <c r="B14" s="24" t="n">
        <v>500000</v>
      </c>
      <c r="I14" s="25" t="n">
        <v>1</v>
      </c>
      <c r="J14" s="26" t="inlineStr">
        <is>
          <t>Not Started</t>
        </is>
      </c>
      <c r="K14" s="10" t="inlineStr">
        <is>
          <t>D9D9D9</t>
        </is>
      </c>
      <c r="L14" s="10" t="inlineStr">
        <is>
          <t>000000</t>
        </is>
      </c>
      <c r="M14" s="25" t="inlineStr"/>
      <c r="N14" s="27" t="inlineStr">
        <is>
          <t>Not Started</t>
        </is>
      </c>
    </row>
    <row r="15">
      <c r="A15" s="4" t="inlineStr">
        <is>
          <t>Contingency %</t>
        </is>
      </c>
      <c r="B15" s="21" t="n">
        <v>10</v>
      </c>
      <c r="I15" s="25" t="n">
        <v>2</v>
      </c>
      <c r="J15" s="28" t="inlineStr">
        <is>
          <t>Planned</t>
        </is>
      </c>
      <c r="K15" s="10" t="inlineStr">
        <is>
          <t>BDD7EE</t>
        </is>
      </c>
      <c r="L15" s="10" t="inlineStr">
        <is>
          <t>000000</t>
        </is>
      </c>
      <c r="M15" s="25" t="inlineStr"/>
      <c r="N15" s="29" t="inlineStr">
        <is>
          <t>Planned</t>
        </is>
      </c>
    </row>
    <row r="16">
      <c r="A16" s="4" t="inlineStr">
        <is>
          <t>Daily Rate Multiplier</t>
        </is>
      </c>
      <c r="B16" s="30" t="n">
        <v>1</v>
      </c>
      <c r="I16" s="25" t="n">
        <v>3</v>
      </c>
      <c r="J16" s="31" t="inlineStr">
        <is>
          <t>In Progress</t>
        </is>
      </c>
      <c r="K16" s="10" t="inlineStr">
        <is>
          <t>FFEB9C</t>
        </is>
      </c>
      <c r="L16" s="10" t="inlineStr">
        <is>
          <t>000000</t>
        </is>
      </c>
      <c r="M16" s="25" t="inlineStr"/>
      <c r="N16" s="32" t="inlineStr">
        <is>
          <t>In Progress</t>
        </is>
      </c>
    </row>
    <row r="17">
      <c r="A17" s="4" t="inlineStr">
        <is>
          <t>Show Progress Bar</t>
        </is>
      </c>
      <c r="B17" s="33" t="n">
        <v>1</v>
      </c>
      <c r="I17" s="25" t="n">
        <v>4</v>
      </c>
      <c r="J17" s="34" t="inlineStr">
        <is>
          <t>Completed</t>
        </is>
      </c>
      <c r="K17" s="10" t="inlineStr">
        <is>
          <t>C6EFCE</t>
        </is>
      </c>
      <c r="L17" s="10" t="inlineStr">
        <is>
          <t>000000</t>
        </is>
      </c>
      <c r="M17" s="25" t="inlineStr"/>
      <c r="N17" s="35" t="inlineStr">
        <is>
          <t>Completed</t>
        </is>
      </c>
    </row>
    <row r="18">
      <c r="I18" s="25" t="n">
        <v>5</v>
      </c>
      <c r="J18" s="36" t="inlineStr">
        <is>
          <t>Delayed</t>
        </is>
      </c>
      <c r="K18" s="10" t="inlineStr">
        <is>
          <t>FFC7CE</t>
        </is>
      </c>
      <c r="L18" s="10" t="inlineStr">
        <is>
          <t>000000</t>
        </is>
      </c>
      <c r="M18" s="25" t="inlineStr"/>
      <c r="N18" s="37" t="inlineStr">
        <is>
          <t>Delayed</t>
        </is>
      </c>
    </row>
    <row r="19">
      <c r="A19" s="38" t="inlineStr">
        <is>
          <t>E  |  GANTT DISPLAY SETTINGS</t>
        </is>
      </c>
      <c r="E19" s="38" t="inlineStr">
        <is>
          <t>F  |  PUBLIC HOLIDAYS</t>
        </is>
      </c>
      <c r="I19" s="25" t="n">
        <v>6</v>
      </c>
      <c r="J19" s="39" t="inlineStr">
        <is>
          <t>On Hold</t>
        </is>
      </c>
      <c r="K19" s="10" t="inlineStr">
        <is>
          <t>FCE4D6</t>
        </is>
      </c>
      <c r="L19" s="10" t="inlineStr">
        <is>
          <t>000000</t>
        </is>
      </c>
      <c r="M19" s="25" t="inlineStr"/>
      <c r="N19" s="40" t="inlineStr">
        <is>
          <t>On Hold</t>
        </is>
      </c>
    </row>
    <row r="20">
      <c r="A20" s="4" t="inlineStr">
        <is>
          <t>Show Today Marker</t>
        </is>
      </c>
      <c r="B20" s="10" t="n">
        <v>1</v>
      </c>
      <c r="E20" s="41" t="inlineStr">
        <is>
          <t>Date</t>
        </is>
      </c>
      <c r="F20" s="41" t="inlineStr">
        <is>
          <t>Description</t>
        </is>
      </c>
      <c r="G20" s="41" t="inlineStr">
        <is>
          <t>Type</t>
        </is>
      </c>
      <c r="I20" s="25" t="n">
        <v>7</v>
      </c>
      <c r="J20" s="42" t="inlineStr">
        <is>
          <t>Cancelled</t>
        </is>
      </c>
      <c r="K20" s="10" t="inlineStr">
        <is>
          <t>808080</t>
        </is>
      </c>
      <c r="L20" s="10" t="inlineStr">
        <is>
          <t>000000</t>
        </is>
      </c>
      <c r="M20" s="25" t="inlineStr"/>
      <c r="N20" s="43" t="inlineStr">
        <is>
          <t>Cancelled</t>
        </is>
      </c>
    </row>
    <row r="21">
      <c r="A21" s="4" t="inlineStr">
        <is>
          <t>Today Marker Colour</t>
        </is>
      </c>
      <c r="B21" s="10" t="inlineStr">
        <is>
          <t>FF0000</t>
        </is>
      </c>
      <c r="E21" s="44" t="n">
        <v>45658</v>
      </c>
      <c r="F21" s="45" t="inlineStr">
        <is>
          <t>New Year's Day</t>
        </is>
      </c>
      <c r="G21" s="45" t="inlineStr">
        <is>
          <t>Public Holiday</t>
        </is>
      </c>
    </row>
    <row r="22">
      <c r="A22" s="4" t="inlineStr">
        <is>
          <t>Weekend Colour (HEX)</t>
        </is>
      </c>
      <c r="B22" s="10" t="inlineStr">
        <is>
          <t>F2F2F2</t>
        </is>
      </c>
      <c r="E22" s="44" t="n">
        <v>45765</v>
      </c>
      <c r="F22" s="45" t="inlineStr">
        <is>
          <t>Good Friday</t>
        </is>
      </c>
      <c r="G22" s="45" t="inlineStr">
        <is>
          <t>Public Holiday</t>
        </is>
      </c>
      <c r="I22" s="46" t="inlineStr">
        <is>
          <t>D  |  PRIORITIES</t>
        </is>
      </c>
    </row>
    <row r="23">
      <c r="A23" s="4" t="inlineStr">
        <is>
          <t>Milestone Symbol</t>
        </is>
      </c>
      <c r="B23" s="10" t="inlineStr">
        <is>
          <t>◆</t>
        </is>
      </c>
      <c r="E23" s="44" t="n">
        <v>45803</v>
      </c>
      <c r="F23" s="45" t="inlineStr">
        <is>
          <t>Memorial Day</t>
        </is>
      </c>
      <c r="G23" s="45" t="inlineStr">
        <is>
          <t>Public Holiday</t>
        </is>
      </c>
      <c r="I23" s="47" t="inlineStr">
        <is>
          <t>#</t>
        </is>
      </c>
      <c r="J23" s="47" t="inlineStr">
        <is>
          <t>Name</t>
        </is>
      </c>
      <c r="K23" s="47" t="inlineStr">
        <is>
          <t>Colour
(HEX)</t>
        </is>
      </c>
      <c r="L23" s="47" t="inlineStr">
        <is>
          <t>Font Colour
(HEX)</t>
        </is>
      </c>
      <c r="M23" s="47" t="inlineStr">
        <is>
          <t>—</t>
        </is>
      </c>
      <c r="N23" s="47" t="inlineStr">
        <is>
          <t>Preview</t>
        </is>
      </c>
    </row>
    <row r="24">
      <c r="A24" s="4" t="inlineStr">
        <is>
          <t>Deliverable Symbol</t>
        </is>
      </c>
      <c r="B24" s="10" t="inlineStr">
        <is>
          <t>★</t>
        </is>
      </c>
      <c r="E24" s="44" t="n">
        <v>45842</v>
      </c>
      <c r="F24" s="45" t="inlineStr">
        <is>
          <t>Independence Day</t>
        </is>
      </c>
      <c r="G24" s="45" t="inlineStr">
        <is>
          <t>Public Holiday</t>
        </is>
      </c>
      <c r="I24" s="25" t="n">
        <v>1</v>
      </c>
      <c r="J24" s="34" t="inlineStr">
        <is>
          <t>Low</t>
        </is>
      </c>
      <c r="K24" s="10" t="inlineStr">
        <is>
          <t>C6EFCE</t>
        </is>
      </c>
      <c r="L24" s="10" t="inlineStr">
        <is>
          <t>000000</t>
        </is>
      </c>
      <c r="M24" s="25" t="inlineStr"/>
      <c r="N24" s="35" t="inlineStr">
        <is>
          <t>Low</t>
        </is>
      </c>
    </row>
    <row r="25">
      <c r="A25" s="4" t="inlineStr">
        <is>
          <t>Gantt Row Height</t>
        </is>
      </c>
      <c r="B25" s="10" t="n">
        <v>18</v>
      </c>
      <c r="E25" s="44" t="n">
        <v>45901</v>
      </c>
      <c r="F25" s="45" t="inlineStr">
        <is>
          <t>Labor Day</t>
        </is>
      </c>
      <c r="G25" s="45" t="inlineStr">
        <is>
          <t>Public Holiday</t>
        </is>
      </c>
      <c r="I25" s="25" t="n">
        <v>2</v>
      </c>
      <c r="J25" s="31" t="inlineStr">
        <is>
          <t>Medium</t>
        </is>
      </c>
      <c r="K25" s="10" t="inlineStr">
        <is>
          <t>FFEB9C</t>
        </is>
      </c>
      <c r="L25" s="10" t="inlineStr">
        <is>
          <t>000000</t>
        </is>
      </c>
      <c r="M25" s="25" t="inlineStr"/>
      <c r="N25" s="32" t="inlineStr">
        <is>
          <t>Medium</t>
        </is>
      </c>
    </row>
    <row r="26">
      <c r="A26" s="4" t="inlineStr">
        <is>
          <t>Show Week Numbers</t>
        </is>
      </c>
      <c r="B26" s="10" t="n">
        <v>1</v>
      </c>
      <c r="E26" s="44" t="n">
        <v>45988</v>
      </c>
      <c r="F26" s="45" t="inlineStr">
        <is>
          <t>Thanksgiving</t>
        </is>
      </c>
      <c r="G26" s="45" t="inlineStr">
        <is>
          <t>Public Holiday</t>
        </is>
      </c>
      <c r="I26" s="25" t="n">
        <v>3</v>
      </c>
      <c r="J26" s="36" t="inlineStr">
        <is>
          <t>High</t>
        </is>
      </c>
      <c r="K26" s="10" t="inlineStr">
        <is>
          <t>FFC7CE</t>
        </is>
      </c>
      <c r="L26" s="10" t="inlineStr">
        <is>
          <t>000000</t>
        </is>
      </c>
      <c r="M26" s="25" t="inlineStr"/>
      <c r="N26" s="37" t="inlineStr">
        <is>
          <t>High</t>
        </is>
      </c>
    </row>
    <row r="27">
      <c r="A27" s="4" t="inlineStr">
        <is>
          <t>Bar Opacity Label</t>
        </is>
      </c>
      <c r="B27" s="10" t="inlineStr">
        <is>
          <t>100%</t>
        </is>
      </c>
      <c r="E27" s="44" t="n">
        <v>46016</v>
      </c>
      <c r="F27" s="45" t="inlineStr">
        <is>
          <t>Christmas Day</t>
        </is>
      </c>
      <c r="G27" s="45" t="inlineStr">
        <is>
          <t>Public Holiday</t>
        </is>
      </c>
      <c r="I27" s="25" t="n">
        <v>4</v>
      </c>
      <c r="J27" s="48" t="inlineStr">
        <is>
          <t>Critical</t>
        </is>
      </c>
      <c r="K27" s="10" t="inlineStr">
        <is>
          <t>FF0000</t>
        </is>
      </c>
      <c r="L27" s="10" t="inlineStr">
        <is>
          <t>000000</t>
        </is>
      </c>
      <c r="M27" s="25" t="inlineStr"/>
      <c r="N27" s="49" t="inlineStr">
        <is>
          <t>Critical</t>
        </is>
      </c>
    </row>
    <row r="28">
      <c r="A28" s="4" t="inlineStr">
        <is>
          <t>Grid Line Colour</t>
        </is>
      </c>
      <c r="B28" s="10" t="inlineStr">
        <is>
          <t>D9D9D9</t>
        </is>
      </c>
    </row>
    <row r="29">
      <c r="A29" s="4" t="inlineStr">
        <is>
          <t>Highlight Critical</t>
        </is>
      </c>
      <c r="B29" s="10" t="n">
        <v>1</v>
      </c>
    </row>
  </sheetData>
  <mergeCells count="9">
    <mergeCell ref="A19:C19"/>
    <mergeCell ref="E19:G19"/>
    <mergeCell ref="I22:N22"/>
    <mergeCell ref="A2:N2"/>
    <mergeCell ref="I12:N12"/>
    <mergeCell ref="E4:G4"/>
    <mergeCell ref="A4:C4"/>
    <mergeCell ref="I4:N4"/>
    <mergeCell ref="A1:N1"/>
  </mergeCells>
  <dataValidations count="7">
    <dataValidation sqref="B12" showDropDown="0" showInputMessage="0" showErrorMessage="0" allowBlank="0" type="list">
      <formula1>"USD,EUR,GBP,TRY,JPY,AUD,CAD"</formula1>
    </dataValidation>
    <dataValidation sqref="B13" showDropDown="0" showInputMessage="0" showErrorMessage="0" allowBlank="0" type="list">
      <formula1>"Daily,Weekly,Monthly"</formula1>
    </dataValidation>
    <dataValidation sqref="B17" showDropDown="0" showInputMessage="0" showErrorMessage="0" allowBlank="0" type="list">
      <formula1>"1,0"</formula1>
    </dataValidation>
    <dataValidation sqref="F5:F11" showDropDown="0" showInputMessage="0" showErrorMessage="0" allowBlank="0" type="list">
      <formula1>"1,0"</formula1>
    </dataValidation>
    <dataValidation sqref="B20" showDropDown="0" showInputMessage="0" showErrorMessage="0" allowBlank="0" type="list">
      <formula1>"Yes";"Yes";"No"</formula1>
    </dataValidation>
    <dataValidation sqref="B26" showDropDown="0" showInputMessage="0" showErrorMessage="0" allowBlank="0" type="list">
      <formula1>"Yes";"Yes";"No"</formula1>
    </dataValidation>
    <dataValidation sqref="B29" showDropDown="0" showInputMessage="0" showErrorMessage="0" allowBlank="0" type="list">
      <formula1>"Yes";"Yes";"No"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8" customWidth="1" min="4" max="4"/>
    <col width="28" customWidth="1" min="5" max="5"/>
    <col width="10" customWidth="1" min="6" max="6"/>
    <col width="12" customWidth="1" min="7" max="7"/>
    <col width="12" customWidth="1" min="8" max="8"/>
    <col width="10" customWidth="1" min="9" max="9"/>
    <col width="28" customWidth="1" min="10" max="10"/>
    <col width="14" customWidth="1" min="11" max="11"/>
    <col width="14" customWidth="1" min="12" max="12"/>
    <col width="28" customWidth="1" min="13" max="13"/>
  </cols>
  <sheetData>
    <row r="1" ht="30" customHeight="1">
      <c r="A1" s="50" t="inlineStr">
        <is>
          <t>👥  RESOURCE REGISTER</t>
        </is>
      </c>
    </row>
    <row r="2" ht="18" customHeight="1">
      <c r="A2" s="51" t="inlineStr">
        <is>
          <t>Define all project resources.  Daily Rate = Hourly Rate × CONFIG!B11 (Working Hours/Day).  Resources populate dropdowns in TASKS and RESOURCE_ALLOC.</t>
        </is>
      </c>
    </row>
    <row r="3" ht="22" customHeight="1">
      <c r="A3" s="52" t="inlineStr">
        <is>
          <t>ID</t>
        </is>
      </c>
      <c r="B3" s="52" t="inlineStr">
        <is>
          <t>Full Name</t>
        </is>
      </c>
      <c r="C3" s="52" t="inlineStr">
        <is>
          <t>Role</t>
        </is>
      </c>
      <c r="D3" s="52" t="inlineStr">
        <is>
          <t>Department</t>
        </is>
      </c>
      <c r="E3" s="52" t="inlineStr">
        <is>
          <t>Email</t>
        </is>
      </c>
      <c r="F3" s="52" t="inlineStr">
        <is>
          <t>Avail. %</t>
        </is>
      </c>
      <c r="G3" s="52" t="inlineStr">
        <is>
          <t>Hourly Rate</t>
        </is>
      </c>
      <c r="H3" s="52" t="inlineStr">
        <is>
          <t>Daily Rate</t>
        </is>
      </c>
      <c r="I3" s="52" t="inlineStr">
        <is>
          <t>Colour</t>
        </is>
      </c>
      <c r="J3" s="52" t="inlineStr">
        <is>
          <t>Skills</t>
        </is>
      </c>
      <c r="K3" s="52" t="inlineStr">
        <is>
          <t>Location</t>
        </is>
      </c>
      <c r="L3" s="52" t="inlineStr">
        <is>
          <t>Contract</t>
        </is>
      </c>
      <c r="M3" s="52" t="inlineStr">
        <is>
          <t>Notes</t>
        </is>
      </c>
    </row>
    <row r="4">
      <c r="A4" s="53" t="inlineStr">
        <is>
          <t>R01</t>
        </is>
      </c>
      <c r="B4" s="54" t="inlineStr">
        <is>
          <t>Alice Johnson</t>
        </is>
      </c>
      <c r="C4" s="54" t="inlineStr">
        <is>
          <t>Project Manager</t>
        </is>
      </c>
      <c r="D4" s="54" t="inlineStr">
        <is>
          <t>PMO</t>
        </is>
      </c>
      <c r="E4" s="54" t="inlineStr">
        <is>
          <t>alice.johnson@company.com</t>
        </is>
      </c>
      <c r="F4" s="55" t="n">
        <v>1</v>
      </c>
      <c r="G4" s="56" t="n">
        <v>110</v>
      </c>
      <c r="H4" s="56">
        <f>G4*CFG_HoursPerDay</f>
        <v/>
      </c>
      <c r="I4" s="57" t="inlineStr"/>
      <c r="J4" s="54" t="inlineStr"/>
      <c r="K4" s="53" t="inlineStr">
        <is>
          <t>HQ</t>
        </is>
      </c>
      <c r="L4" s="53" t="inlineStr">
        <is>
          <t>Full-time</t>
        </is>
      </c>
      <c r="M4" s="54" t="inlineStr"/>
    </row>
    <row r="5">
      <c r="A5" s="58" t="inlineStr">
        <is>
          <t>R02</t>
        </is>
      </c>
      <c r="B5" s="59" t="inlineStr">
        <is>
          <t>Bob Smith</t>
        </is>
      </c>
      <c r="C5" s="59" t="inlineStr">
        <is>
          <t>Sr. Developer</t>
        </is>
      </c>
      <c r="D5" s="59" t="inlineStr">
        <is>
          <t>Engineering</t>
        </is>
      </c>
      <c r="E5" s="59" t="inlineStr">
        <is>
          <t>bob.smith@company.com</t>
        </is>
      </c>
      <c r="F5" s="60" t="n">
        <v>0.75</v>
      </c>
      <c r="G5" s="61" t="n">
        <v>120</v>
      </c>
      <c r="H5" s="61">
        <f>G5*CFG_HoursPerDay</f>
        <v/>
      </c>
      <c r="I5" s="62" t="inlineStr"/>
      <c r="J5" s="59" t="inlineStr"/>
      <c r="K5" s="58" t="inlineStr">
        <is>
          <t>HQ</t>
        </is>
      </c>
      <c r="L5" s="58" t="inlineStr">
        <is>
          <t>Full-time</t>
        </is>
      </c>
      <c r="M5" s="59" t="inlineStr"/>
    </row>
    <row r="6">
      <c r="A6" s="53" t="inlineStr">
        <is>
          <t>R03</t>
        </is>
      </c>
      <c r="B6" s="54" t="inlineStr">
        <is>
          <t>Carol Williams</t>
        </is>
      </c>
      <c r="C6" s="54" t="inlineStr">
        <is>
          <t>UX Designer</t>
        </is>
      </c>
      <c r="D6" s="54" t="inlineStr">
        <is>
          <t>Design</t>
        </is>
      </c>
      <c r="E6" s="54" t="inlineStr">
        <is>
          <t>carol.williams@company.com</t>
        </is>
      </c>
      <c r="F6" s="55" t="n">
        <v>1</v>
      </c>
      <c r="G6" s="56" t="n">
        <v>90</v>
      </c>
      <c r="H6" s="56">
        <f>G6*CFG_HoursPerDay</f>
        <v/>
      </c>
      <c r="I6" s="63" t="inlineStr"/>
      <c r="J6" s="54" t="inlineStr"/>
      <c r="K6" s="53" t="inlineStr">
        <is>
          <t>HQ</t>
        </is>
      </c>
      <c r="L6" s="53" t="inlineStr">
        <is>
          <t>Full-time</t>
        </is>
      </c>
      <c r="M6" s="54" t="inlineStr"/>
    </row>
    <row r="7">
      <c r="A7" s="58" t="inlineStr">
        <is>
          <t>R04</t>
        </is>
      </c>
      <c r="B7" s="59" t="inlineStr">
        <is>
          <t>David Brown</t>
        </is>
      </c>
      <c r="C7" s="59" t="inlineStr">
        <is>
          <t>QA Engineer</t>
        </is>
      </c>
      <c r="D7" s="59" t="inlineStr">
        <is>
          <t>Quality</t>
        </is>
      </c>
      <c r="E7" s="59" t="inlineStr">
        <is>
          <t>david.brown@company.com</t>
        </is>
      </c>
      <c r="F7" s="60" t="n">
        <v>0.5</v>
      </c>
      <c r="G7" s="61" t="n">
        <v>80</v>
      </c>
      <c r="H7" s="61">
        <f>G7*CFG_HoursPerDay</f>
        <v/>
      </c>
      <c r="I7" s="64" t="inlineStr"/>
      <c r="J7" s="59" t="inlineStr"/>
      <c r="K7" s="58" t="inlineStr">
        <is>
          <t>HQ</t>
        </is>
      </c>
      <c r="L7" s="58" t="inlineStr">
        <is>
          <t>Full-time</t>
        </is>
      </c>
      <c r="M7" s="59" t="inlineStr"/>
    </row>
    <row r="8">
      <c r="A8" s="53" t="inlineStr">
        <is>
          <t>R05</t>
        </is>
      </c>
      <c r="B8" s="54" t="inlineStr">
        <is>
          <t>Eve Davis</t>
        </is>
      </c>
      <c r="C8" s="54" t="inlineStr">
        <is>
          <t>Business Analyst</t>
        </is>
      </c>
      <c r="D8" s="54" t="inlineStr">
        <is>
          <t>Business</t>
        </is>
      </c>
      <c r="E8" s="54" t="inlineStr">
        <is>
          <t>eve.davis@company.com</t>
        </is>
      </c>
      <c r="F8" s="55" t="n">
        <v>1</v>
      </c>
      <c r="G8" s="56" t="n">
        <v>95</v>
      </c>
      <c r="H8" s="56">
        <f>G8*CFG_HoursPerDay</f>
        <v/>
      </c>
      <c r="I8" s="65" t="inlineStr"/>
      <c r="J8" s="54" t="inlineStr"/>
      <c r="K8" s="53" t="inlineStr">
        <is>
          <t>HQ</t>
        </is>
      </c>
      <c r="L8" s="53" t="inlineStr">
        <is>
          <t>Full-time</t>
        </is>
      </c>
      <c r="M8" s="54" t="inlineStr"/>
    </row>
    <row r="9">
      <c r="A9" s="58" t="inlineStr">
        <is>
          <t>R06</t>
        </is>
      </c>
      <c r="B9" s="59" t="inlineStr">
        <is>
          <t>Frank Miller</t>
        </is>
      </c>
      <c r="C9" s="59" t="inlineStr">
        <is>
          <t>Backend Dev</t>
        </is>
      </c>
      <c r="D9" s="59" t="inlineStr">
        <is>
          <t>Engineering</t>
        </is>
      </c>
      <c r="E9" s="59" t="inlineStr">
        <is>
          <t>frank.miller@company.com</t>
        </is>
      </c>
      <c r="F9" s="60" t="n">
        <v>1</v>
      </c>
      <c r="G9" s="61" t="n">
        <v>115</v>
      </c>
      <c r="H9" s="61">
        <f>G9*CFG_HoursPerDay</f>
        <v/>
      </c>
      <c r="I9" s="66" t="inlineStr"/>
      <c r="J9" s="59" t="inlineStr"/>
      <c r="K9" s="58" t="inlineStr">
        <is>
          <t>HQ</t>
        </is>
      </c>
      <c r="L9" s="58" t="inlineStr">
        <is>
          <t>Full-time</t>
        </is>
      </c>
      <c r="M9" s="59" t="inlineStr"/>
    </row>
    <row r="10">
      <c r="A10" s="53" t="inlineStr">
        <is>
          <t>R07</t>
        </is>
      </c>
      <c r="B10" s="54" t="inlineStr">
        <is>
          <t>Grace Wilson</t>
        </is>
      </c>
      <c r="C10" s="54" t="inlineStr">
        <is>
          <t>Frontend Dev</t>
        </is>
      </c>
      <c r="D10" s="54" t="inlineStr">
        <is>
          <t>Engineering</t>
        </is>
      </c>
      <c r="E10" s="54" t="inlineStr">
        <is>
          <t>grace.wilson@company.com</t>
        </is>
      </c>
      <c r="F10" s="55" t="n">
        <v>0.75</v>
      </c>
      <c r="G10" s="56" t="n">
        <v>100</v>
      </c>
      <c r="H10" s="56">
        <f>G10*CFG_HoursPerDay</f>
        <v/>
      </c>
      <c r="I10" s="67" t="inlineStr"/>
      <c r="J10" s="54" t="inlineStr"/>
      <c r="K10" s="53" t="inlineStr">
        <is>
          <t>HQ</t>
        </is>
      </c>
      <c r="L10" s="53" t="inlineStr">
        <is>
          <t>Full-time</t>
        </is>
      </c>
      <c r="M10" s="54" t="inlineStr"/>
    </row>
    <row r="11">
      <c r="A11" s="58" t="inlineStr">
        <is>
          <t>R08</t>
        </is>
      </c>
      <c r="B11" s="59" t="inlineStr">
        <is>
          <t>Henry Moore</t>
        </is>
      </c>
      <c r="C11" s="59" t="inlineStr">
        <is>
          <t>DevOps Engineer</t>
        </is>
      </c>
      <c r="D11" s="59" t="inlineStr">
        <is>
          <t>Operations</t>
        </is>
      </c>
      <c r="E11" s="59" t="inlineStr">
        <is>
          <t>henry.moore@company.com</t>
        </is>
      </c>
      <c r="F11" s="60" t="n">
        <v>0.5</v>
      </c>
      <c r="G11" s="61" t="n">
        <v>130</v>
      </c>
      <c r="H11" s="61">
        <f>G11*CFG_HoursPerDay</f>
        <v/>
      </c>
      <c r="I11" s="68" t="inlineStr"/>
      <c r="J11" s="59" t="inlineStr"/>
      <c r="K11" s="58" t="inlineStr">
        <is>
          <t>HQ</t>
        </is>
      </c>
      <c r="L11" s="58" t="inlineStr">
        <is>
          <t>Full-time</t>
        </is>
      </c>
      <c r="M11" s="59" t="inlineStr"/>
    </row>
    <row r="12">
      <c r="A12" s="69" t="inlineStr">
        <is>
          <t>AVG / TOTAL</t>
        </is>
      </c>
      <c r="F12" s="70">
        <f>AVERAGE(F4:F11)</f>
        <v/>
      </c>
      <c r="G12" s="71">
        <f>AVERAGE(G4:G11)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36" customWidth="1" min="4" max="4"/>
    <col width="14" customWidth="1" min="5" max="5"/>
    <col width="14" customWidth="1" min="6" max="6"/>
    <col width="11" customWidth="1" min="7" max="7"/>
    <col width="13" customWidth="1" min="8" max="8"/>
    <col width="13" customWidth="1" min="9" max="9"/>
    <col width="10" customWidth="1" min="10" max="10"/>
    <col width="9" customWidth="1" min="11" max="11"/>
    <col width="18" customWidth="1" min="12" max="12"/>
    <col width="8" customWidth="1" min="13" max="13"/>
    <col width="18" customWidth="1" min="14" max="14"/>
    <col width="8" customWidth="1" min="15" max="15"/>
    <col width="18" customWidth="1" min="16" max="16"/>
    <col width="8" customWidth="1" min="17" max="17"/>
    <col width="13" customWidth="1" min="18" max="18"/>
    <col width="12" customWidth="1" min="19" max="19"/>
    <col width="30" customWidth="1" min="20" max="20"/>
  </cols>
  <sheetData>
    <row r="1" ht="30" customHeight="1">
      <c r="A1" s="72" t="inlineStr">
        <is>
          <t>📋  TASK REGISTER</t>
        </is>
      </c>
    </row>
    <row r="2" ht="18" customHeight="1">
      <c r="A2" s="73" t="inlineStr">
        <is>
          <t>Enter tasks here.  Dropdowns are driven by CONFIG named ranges.  Duration = End − Start + 1.  Up to 3 resources per task.</t>
        </is>
      </c>
    </row>
    <row r="3" ht="30" customHeight="1">
      <c r="A3" s="74" t="inlineStr">
        <is>
          <t>ID</t>
        </is>
      </c>
      <c r="B3" s="74" t="inlineStr">
        <is>
          <t>WBS</t>
        </is>
      </c>
      <c r="C3" s="74" t="inlineStr">
        <is>
          <t>Level</t>
        </is>
      </c>
      <c r="D3" s="74" t="inlineStr">
        <is>
          <t>Task Name</t>
        </is>
      </c>
      <c r="E3" s="74" t="inlineStr">
        <is>
          <t>Type</t>
        </is>
      </c>
      <c r="F3" s="74" t="inlineStr">
        <is>
          <t>Status</t>
        </is>
      </c>
      <c r="G3" s="74" t="inlineStr">
        <is>
          <t>Priority</t>
        </is>
      </c>
      <c r="H3" s="74" t="inlineStr">
        <is>
          <t>Start Date</t>
        </is>
      </c>
      <c r="I3" s="74" t="inlineStr">
        <is>
          <t>End Date</t>
        </is>
      </c>
      <c r="J3" s="74" t="inlineStr">
        <is>
          <t>Duration
(days)</t>
        </is>
      </c>
      <c r="K3" s="74" t="inlineStr">
        <is>
          <t>Progress
%</t>
        </is>
      </c>
      <c r="L3" s="74" t="inlineStr">
        <is>
          <t>Resource 1</t>
        </is>
      </c>
      <c r="M3" s="74" t="inlineStr">
        <is>
          <t>R1 %</t>
        </is>
      </c>
      <c r="N3" s="74" t="inlineStr">
        <is>
          <t>Resource 2</t>
        </is>
      </c>
      <c r="O3" s="74" t="inlineStr">
        <is>
          <t>R2 %</t>
        </is>
      </c>
      <c r="P3" s="74" t="inlineStr">
        <is>
          <t>Resource 3</t>
        </is>
      </c>
      <c r="Q3" s="74" t="inlineStr">
        <is>
          <t>R3 %</t>
        </is>
      </c>
      <c r="R3" s="74" t="inlineStr">
        <is>
          <t>Budget</t>
        </is>
      </c>
      <c r="S3" s="74" t="inlineStr">
        <is>
          <t>Depends On</t>
        </is>
      </c>
      <c r="T3" s="74" t="inlineStr">
        <is>
          <t>Notes</t>
        </is>
      </c>
    </row>
    <row r="4" ht="18" customHeight="1">
      <c r="A4" s="75" t="n">
        <v>1</v>
      </c>
      <c r="B4" s="76" t="inlineStr">
        <is>
          <t>1</t>
        </is>
      </c>
      <c r="C4" s="75" t="n">
        <v>0</v>
      </c>
      <c r="D4" s="77" t="inlineStr">
        <is>
          <t>Project Kickoff</t>
        </is>
      </c>
      <c r="E4" s="76" t="inlineStr">
        <is>
          <t>Epic</t>
        </is>
      </c>
      <c r="F4" s="76" t="inlineStr">
        <is>
          <t>Completed</t>
        </is>
      </c>
      <c r="G4" s="76" t="inlineStr">
        <is>
          <t>High</t>
        </is>
      </c>
      <c r="H4" s="78" t="n">
        <v>45663</v>
      </c>
      <c r="I4" s="78" t="n">
        <v>45667</v>
      </c>
      <c r="J4" s="75">
        <f>I4-H4+1</f>
        <v/>
      </c>
      <c r="K4" s="79" t="n">
        <v>1</v>
      </c>
      <c r="L4" s="76" t="inlineStr">
        <is>
          <t>R01</t>
        </is>
      </c>
      <c r="M4" s="79" t="n">
        <v>0.8</v>
      </c>
      <c r="N4" s="76" t="inlineStr">
        <is>
          <t>R05</t>
        </is>
      </c>
      <c r="O4" s="79" t="n">
        <v>0.2</v>
      </c>
      <c r="P4" s="76" t="inlineStr"/>
      <c r="Q4" s="79" t="n"/>
      <c r="R4" s="80" t="n">
        <v>3000</v>
      </c>
      <c r="S4" s="76" t="inlineStr"/>
      <c r="T4" s="76" t="inlineStr"/>
    </row>
    <row r="5" ht="18" customHeight="1">
      <c r="A5" s="81" t="n">
        <v>2</v>
      </c>
      <c r="B5" s="82" t="inlineStr">
        <is>
          <t>1.1</t>
        </is>
      </c>
      <c r="C5" s="81" t="n">
        <v>1</v>
      </c>
      <c r="D5" s="82" t="inlineStr">
        <is>
          <t xml:space="preserve">  Requirements Gathering</t>
        </is>
      </c>
      <c r="E5" s="82" t="inlineStr">
        <is>
          <t>Feature</t>
        </is>
      </c>
      <c r="F5" s="82" t="inlineStr">
        <is>
          <t>Completed</t>
        </is>
      </c>
      <c r="G5" s="82" t="inlineStr">
        <is>
          <t>High</t>
        </is>
      </c>
      <c r="H5" s="83" t="n">
        <v>45663</v>
      </c>
      <c r="I5" s="83" t="n">
        <v>45676</v>
      </c>
      <c r="J5" s="81">
        <f>I5-H5+1</f>
        <v/>
      </c>
      <c r="K5" s="84" t="n">
        <v>1</v>
      </c>
      <c r="L5" s="82" t="inlineStr">
        <is>
          <t>R01</t>
        </is>
      </c>
      <c r="M5" s="84" t="n">
        <v>0.8</v>
      </c>
      <c r="N5" s="82" t="inlineStr">
        <is>
          <t>R05</t>
        </is>
      </c>
      <c r="O5" s="84" t="n">
        <v>0.2</v>
      </c>
      <c r="P5" s="82" t="inlineStr"/>
      <c r="Q5" s="84" t="n"/>
      <c r="R5" s="85" t="n">
        <v>8400</v>
      </c>
      <c r="S5" s="82" t="inlineStr"/>
      <c r="T5" s="82" t="inlineStr"/>
    </row>
    <row r="6" ht="18" customHeight="1">
      <c r="A6" s="86" t="n">
        <v>3</v>
      </c>
      <c r="B6" s="87" t="inlineStr">
        <is>
          <t>1.1.1</t>
        </is>
      </c>
      <c r="C6" s="86" t="n">
        <v>2</v>
      </c>
      <c r="D6" s="87" t="inlineStr">
        <is>
          <t xml:space="preserve">    Stakeholder Interviews</t>
        </is>
      </c>
      <c r="E6" s="87" t="inlineStr">
        <is>
          <t>Task</t>
        </is>
      </c>
      <c r="F6" s="87" t="inlineStr">
        <is>
          <t>Completed</t>
        </is>
      </c>
      <c r="G6" s="87" t="inlineStr">
        <is>
          <t>Medium</t>
        </is>
      </c>
      <c r="H6" s="88" t="n">
        <v>45663</v>
      </c>
      <c r="I6" s="88" t="n">
        <v>45669</v>
      </c>
      <c r="J6" s="86">
        <f>I6-H6+1</f>
        <v/>
      </c>
      <c r="K6" s="89" t="n">
        <v>1</v>
      </c>
      <c r="L6" s="87" t="inlineStr">
        <is>
          <t>R01</t>
        </is>
      </c>
      <c r="M6" s="89" t="n">
        <v>0.8</v>
      </c>
      <c r="N6" s="87" t="inlineStr"/>
      <c r="O6" s="89" t="n"/>
      <c r="P6" s="87" t="inlineStr"/>
      <c r="Q6" s="89" t="n"/>
      <c r="R6" s="90" t="n">
        <v>4200</v>
      </c>
      <c r="S6" s="87" t="inlineStr"/>
      <c r="T6" s="87" t="inlineStr"/>
    </row>
    <row r="7" ht="18" customHeight="1">
      <c r="A7" s="86" t="n">
        <v>4</v>
      </c>
      <c r="B7" s="87" t="inlineStr">
        <is>
          <t>1.1.2</t>
        </is>
      </c>
      <c r="C7" s="86" t="n">
        <v>2</v>
      </c>
      <c r="D7" s="87" t="inlineStr">
        <is>
          <t xml:space="preserve">    Document Requirements</t>
        </is>
      </c>
      <c r="E7" s="87" t="inlineStr">
        <is>
          <t>Task</t>
        </is>
      </c>
      <c r="F7" s="87" t="inlineStr">
        <is>
          <t>Completed</t>
        </is>
      </c>
      <c r="G7" s="87" t="inlineStr">
        <is>
          <t>Medium</t>
        </is>
      </c>
      <c r="H7" s="88" t="n">
        <v>45670</v>
      </c>
      <c r="I7" s="88" t="n">
        <v>45676</v>
      </c>
      <c r="J7" s="86">
        <f>I7-H7+1</f>
        <v/>
      </c>
      <c r="K7" s="89" t="n">
        <v>1</v>
      </c>
      <c r="L7" s="87" t="inlineStr">
        <is>
          <t>R05</t>
        </is>
      </c>
      <c r="M7" s="89" t="n">
        <v>0.8</v>
      </c>
      <c r="N7" s="87" t="inlineStr"/>
      <c r="O7" s="89" t="n"/>
      <c r="P7" s="87" t="inlineStr"/>
      <c r="Q7" s="89" t="n"/>
      <c r="R7" s="90" t="n">
        <v>4200</v>
      </c>
      <c r="S7" s="87" t="inlineStr"/>
      <c r="T7" s="87" t="inlineStr"/>
    </row>
    <row r="8" ht="18" customHeight="1">
      <c r="A8" s="91" t="n">
        <v>5</v>
      </c>
      <c r="B8" s="92" t="inlineStr">
        <is>
          <t>1.2</t>
        </is>
      </c>
      <c r="C8" s="91" t="n">
        <v>1</v>
      </c>
      <c r="D8" s="93" t="inlineStr">
        <is>
          <t xml:space="preserve">  ◆ Requirements Sign-off</t>
        </is>
      </c>
      <c r="E8" s="92" t="inlineStr">
        <is>
          <t>Milestone</t>
        </is>
      </c>
      <c r="F8" s="92" t="inlineStr">
        <is>
          <t>Completed</t>
        </is>
      </c>
      <c r="G8" s="92" t="inlineStr">
        <is>
          <t>Critical</t>
        </is>
      </c>
      <c r="H8" s="94" t="n">
        <v>45677</v>
      </c>
      <c r="I8" s="94" t="n">
        <v>45677</v>
      </c>
      <c r="J8" s="91">
        <f>I8-H8+1</f>
        <v/>
      </c>
      <c r="K8" s="95" t="n">
        <v>1</v>
      </c>
      <c r="L8" s="92" t="inlineStr">
        <is>
          <t>R01</t>
        </is>
      </c>
      <c r="M8" s="95" t="n">
        <v>0.8</v>
      </c>
      <c r="N8" s="92" t="inlineStr"/>
      <c r="O8" s="95" t="n"/>
      <c r="P8" s="92" t="inlineStr"/>
      <c r="Q8" s="95" t="n"/>
      <c r="R8" s="96" t="n">
        <v>600</v>
      </c>
      <c r="S8" s="92" t="inlineStr"/>
      <c r="T8" s="92" t="inlineStr"/>
    </row>
    <row r="9" ht="18" customHeight="1">
      <c r="A9" s="75" t="n">
        <v>6</v>
      </c>
      <c r="B9" s="76" t="inlineStr">
        <is>
          <t>2</t>
        </is>
      </c>
      <c r="C9" s="75" t="n">
        <v>0</v>
      </c>
      <c r="D9" s="77" t="inlineStr">
        <is>
          <t>Design Phase</t>
        </is>
      </c>
      <c r="E9" s="76" t="inlineStr">
        <is>
          <t>Epic</t>
        </is>
      </c>
      <c r="F9" s="76" t="inlineStr">
        <is>
          <t>Completed</t>
        </is>
      </c>
      <c r="G9" s="76" t="inlineStr">
        <is>
          <t>High</t>
        </is>
      </c>
      <c r="H9" s="78" t="n">
        <v>45677</v>
      </c>
      <c r="I9" s="78" t="n">
        <v>45704</v>
      </c>
      <c r="J9" s="75">
        <f>I9-H9+1</f>
        <v/>
      </c>
      <c r="K9" s="79" t="n">
        <v>1</v>
      </c>
      <c r="L9" s="76" t="inlineStr">
        <is>
          <t>R03</t>
        </is>
      </c>
      <c r="M9" s="79" t="n">
        <v>0.8</v>
      </c>
      <c r="N9" s="76" t="inlineStr">
        <is>
          <t>R05</t>
        </is>
      </c>
      <c r="O9" s="79" t="n">
        <v>0.2</v>
      </c>
      <c r="P9" s="76" t="inlineStr"/>
      <c r="Q9" s="79" t="n"/>
      <c r="R9" s="80" t="n">
        <v>16800</v>
      </c>
      <c r="S9" s="76" t="inlineStr"/>
      <c r="T9" s="76" t="inlineStr"/>
    </row>
    <row r="10" ht="18" customHeight="1">
      <c r="A10" s="81" t="n">
        <v>7</v>
      </c>
      <c r="B10" s="82" t="inlineStr">
        <is>
          <t>2.1</t>
        </is>
      </c>
      <c r="C10" s="81" t="n">
        <v>1</v>
      </c>
      <c r="D10" s="82" t="inlineStr">
        <is>
          <t xml:space="preserve">  UI/UX Design</t>
        </is>
      </c>
      <c r="E10" s="82" t="inlineStr">
        <is>
          <t>Feature</t>
        </is>
      </c>
      <c r="F10" s="82" t="inlineStr">
        <is>
          <t>Completed</t>
        </is>
      </c>
      <c r="G10" s="82" t="inlineStr">
        <is>
          <t>High</t>
        </is>
      </c>
      <c r="H10" s="83" t="n">
        <v>45677</v>
      </c>
      <c r="I10" s="83" t="n">
        <v>45697</v>
      </c>
      <c r="J10" s="81">
        <f>I10-H10+1</f>
        <v/>
      </c>
      <c r="K10" s="84" t="n">
        <v>1</v>
      </c>
      <c r="L10" s="82" t="inlineStr">
        <is>
          <t>R03</t>
        </is>
      </c>
      <c r="M10" s="84" t="n">
        <v>0.8</v>
      </c>
      <c r="N10" s="82" t="inlineStr"/>
      <c r="O10" s="84" t="n"/>
      <c r="P10" s="82" t="inlineStr"/>
      <c r="Q10" s="84" t="n"/>
      <c r="R10" s="85" t="n">
        <v>12600</v>
      </c>
      <c r="S10" s="82" t="inlineStr"/>
      <c r="T10" s="82" t="inlineStr"/>
    </row>
    <row r="11" ht="18" customHeight="1">
      <c r="A11" s="86" t="n">
        <v>8</v>
      </c>
      <c r="B11" s="87" t="inlineStr">
        <is>
          <t>2.1.1</t>
        </is>
      </c>
      <c r="C11" s="86" t="n">
        <v>2</v>
      </c>
      <c r="D11" s="87" t="inlineStr">
        <is>
          <t xml:space="preserve">    Wireframes</t>
        </is>
      </c>
      <c r="E11" s="87" t="inlineStr">
        <is>
          <t>Task</t>
        </is>
      </c>
      <c r="F11" s="87" t="inlineStr">
        <is>
          <t>Completed</t>
        </is>
      </c>
      <c r="G11" s="87" t="inlineStr">
        <is>
          <t>Medium</t>
        </is>
      </c>
      <c r="H11" s="88" t="n">
        <v>45677</v>
      </c>
      <c r="I11" s="88" t="n">
        <v>45686</v>
      </c>
      <c r="J11" s="86">
        <f>I11-H11+1</f>
        <v/>
      </c>
      <c r="K11" s="89" t="n">
        <v>1</v>
      </c>
      <c r="L11" s="87" t="inlineStr">
        <is>
          <t>R03</t>
        </is>
      </c>
      <c r="M11" s="89" t="n">
        <v>0.8</v>
      </c>
      <c r="N11" s="87" t="inlineStr"/>
      <c r="O11" s="89" t="n"/>
      <c r="P11" s="87" t="inlineStr"/>
      <c r="Q11" s="89" t="n"/>
      <c r="R11" s="90" t="n">
        <v>6000</v>
      </c>
      <c r="S11" s="87" t="inlineStr"/>
      <c r="T11" s="87" t="inlineStr"/>
    </row>
    <row r="12" ht="18" customHeight="1">
      <c r="A12" s="86" t="n">
        <v>9</v>
      </c>
      <c r="B12" s="87" t="inlineStr">
        <is>
          <t>2.1.2</t>
        </is>
      </c>
      <c r="C12" s="86" t="n">
        <v>2</v>
      </c>
      <c r="D12" s="87" t="inlineStr">
        <is>
          <t xml:space="preserve">    Prototypes</t>
        </is>
      </c>
      <c r="E12" s="87" t="inlineStr">
        <is>
          <t>Task</t>
        </is>
      </c>
      <c r="F12" s="87" t="inlineStr">
        <is>
          <t>Completed</t>
        </is>
      </c>
      <c r="G12" s="87" t="inlineStr">
        <is>
          <t>Medium</t>
        </is>
      </c>
      <c r="H12" s="88" t="n">
        <v>45687</v>
      </c>
      <c r="I12" s="88" t="n">
        <v>45697</v>
      </c>
      <c r="J12" s="86">
        <f>I12-H12+1</f>
        <v/>
      </c>
      <c r="K12" s="89" t="n">
        <v>1</v>
      </c>
      <c r="L12" s="87" t="inlineStr">
        <is>
          <t>R03</t>
        </is>
      </c>
      <c r="M12" s="89" t="n">
        <v>0.8</v>
      </c>
      <c r="N12" s="87" t="inlineStr"/>
      <c r="O12" s="89" t="n"/>
      <c r="P12" s="87" t="inlineStr"/>
      <c r="Q12" s="89" t="n"/>
      <c r="R12" s="90" t="n">
        <v>6600</v>
      </c>
      <c r="S12" s="87" t="inlineStr"/>
      <c r="T12" s="87" t="inlineStr"/>
    </row>
    <row r="13" ht="18" customHeight="1">
      <c r="A13" s="81" t="n">
        <v>10</v>
      </c>
      <c r="B13" s="82" t="inlineStr">
        <is>
          <t>2.2</t>
        </is>
      </c>
      <c r="C13" s="81" t="n">
        <v>1</v>
      </c>
      <c r="D13" s="82" t="inlineStr">
        <is>
          <t xml:space="preserve">  Architecture Design</t>
        </is>
      </c>
      <c r="E13" s="82" t="inlineStr">
        <is>
          <t>Feature</t>
        </is>
      </c>
      <c r="F13" s="82" t="inlineStr">
        <is>
          <t>Completed</t>
        </is>
      </c>
      <c r="G13" s="82" t="inlineStr">
        <is>
          <t>High</t>
        </is>
      </c>
      <c r="H13" s="83" t="n">
        <v>45677</v>
      </c>
      <c r="I13" s="83" t="n">
        <v>45690</v>
      </c>
      <c r="J13" s="81">
        <f>I13-H13+1</f>
        <v/>
      </c>
      <c r="K13" s="84" t="n">
        <v>1</v>
      </c>
      <c r="L13" s="82" t="inlineStr">
        <is>
          <t>R02</t>
        </is>
      </c>
      <c r="M13" s="84" t="n">
        <v>0.8</v>
      </c>
      <c r="N13" s="82" t="inlineStr">
        <is>
          <t>R06</t>
        </is>
      </c>
      <c r="O13" s="84" t="n">
        <v>0.2</v>
      </c>
      <c r="P13" s="82" t="inlineStr"/>
      <c r="Q13" s="84" t="n"/>
      <c r="R13" s="85" t="n">
        <v>8400</v>
      </c>
      <c r="S13" s="82" t="inlineStr"/>
      <c r="T13" s="82" t="inlineStr"/>
    </row>
    <row r="14" ht="18" customHeight="1">
      <c r="A14" s="91" t="n">
        <v>11</v>
      </c>
      <c r="B14" s="92" t="inlineStr">
        <is>
          <t>2.3</t>
        </is>
      </c>
      <c r="C14" s="91" t="n">
        <v>1</v>
      </c>
      <c r="D14" s="93" t="inlineStr">
        <is>
          <t xml:space="preserve">  ◆ Design Review</t>
        </is>
      </c>
      <c r="E14" s="92" t="inlineStr">
        <is>
          <t>Milestone</t>
        </is>
      </c>
      <c r="F14" s="92" t="inlineStr">
        <is>
          <t>Completed</t>
        </is>
      </c>
      <c r="G14" s="92" t="inlineStr">
        <is>
          <t>Critical</t>
        </is>
      </c>
      <c r="H14" s="94" t="n">
        <v>45705</v>
      </c>
      <c r="I14" s="94" t="n">
        <v>45705</v>
      </c>
      <c r="J14" s="91">
        <f>I14-H14+1</f>
        <v/>
      </c>
      <c r="K14" s="95" t="n">
        <v>1</v>
      </c>
      <c r="L14" s="92" t="inlineStr">
        <is>
          <t>R01</t>
        </is>
      </c>
      <c r="M14" s="95" t="n">
        <v>0.8</v>
      </c>
      <c r="N14" s="92" t="inlineStr"/>
      <c r="O14" s="95" t="n"/>
      <c r="P14" s="92" t="inlineStr"/>
      <c r="Q14" s="95" t="n"/>
      <c r="R14" s="96" t="n">
        <v>600</v>
      </c>
      <c r="S14" s="92" t="inlineStr"/>
      <c r="T14" s="92" t="inlineStr"/>
    </row>
    <row r="15" ht="18" customHeight="1">
      <c r="A15" s="75" t="n">
        <v>12</v>
      </c>
      <c r="B15" s="76" t="inlineStr">
        <is>
          <t>3</t>
        </is>
      </c>
      <c r="C15" s="75" t="n">
        <v>0</v>
      </c>
      <c r="D15" s="77" t="inlineStr">
        <is>
          <t>Development Sprint 1</t>
        </is>
      </c>
      <c r="E15" s="76" t="inlineStr">
        <is>
          <t>Epic</t>
        </is>
      </c>
      <c r="F15" s="76" t="inlineStr">
        <is>
          <t>In Progress</t>
        </is>
      </c>
      <c r="G15" s="76" t="inlineStr">
        <is>
          <t>High</t>
        </is>
      </c>
      <c r="H15" s="78" t="n">
        <v>45705</v>
      </c>
      <c r="I15" s="78" t="n">
        <v>45746</v>
      </c>
      <c r="J15" s="75">
        <f>I15-H15+1</f>
        <v/>
      </c>
      <c r="K15" s="79" t="n">
        <v>0.6</v>
      </c>
      <c r="L15" s="76" t="inlineStr">
        <is>
          <t>R02</t>
        </is>
      </c>
      <c r="M15" s="79" t="n">
        <v>0.8</v>
      </c>
      <c r="N15" s="76" t="inlineStr">
        <is>
          <t>R06</t>
        </is>
      </c>
      <c r="O15" s="79" t="n">
        <v>0.2</v>
      </c>
      <c r="P15" s="76" t="inlineStr">
        <is>
          <t>R07</t>
        </is>
      </c>
      <c r="Q15" s="79" t="n">
        <v>0.2</v>
      </c>
      <c r="R15" s="80" t="n">
        <v>25200</v>
      </c>
      <c r="S15" s="76" t="inlineStr"/>
      <c r="T15" s="76" t="inlineStr"/>
    </row>
    <row r="16" ht="18" customHeight="1">
      <c r="A16" s="81" t="n">
        <v>13</v>
      </c>
      <c r="B16" s="82" t="inlineStr">
        <is>
          <t>3.1</t>
        </is>
      </c>
      <c r="C16" s="81" t="n">
        <v>1</v>
      </c>
      <c r="D16" s="82" t="inlineStr">
        <is>
          <t xml:space="preserve">  Backend API Development</t>
        </is>
      </c>
      <c r="E16" s="82" t="inlineStr">
        <is>
          <t>Feature</t>
        </is>
      </c>
      <c r="F16" s="82" t="inlineStr">
        <is>
          <t>In Progress</t>
        </is>
      </c>
      <c r="G16" s="82" t="inlineStr">
        <is>
          <t>High</t>
        </is>
      </c>
      <c r="H16" s="83" t="n">
        <v>45705</v>
      </c>
      <c r="I16" s="83" t="n">
        <v>45732</v>
      </c>
      <c r="J16" s="81">
        <f>I16-H16+1</f>
        <v/>
      </c>
      <c r="K16" s="84" t="n">
        <v>0.7</v>
      </c>
      <c r="L16" s="82" t="inlineStr">
        <is>
          <t>R02</t>
        </is>
      </c>
      <c r="M16" s="84" t="n">
        <v>0.8</v>
      </c>
      <c r="N16" s="82" t="inlineStr">
        <is>
          <t>R06</t>
        </is>
      </c>
      <c r="O16" s="84" t="n">
        <v>0.2</v>
      </c>
      <c r="P16" s="82" t="inlineStr"/>
      <c r="Q16" s="84" t="n"/>
      <c r="R16" s="85" t="n">
        <v>16800</v>
      </c>
      <c r="S16" s="82" t="inlineStr"/>
      <c r="T16" s="82" t="inlineStr"/>
    </row>
    <row r="17" ht="18" customHeight="1">
      <c r="A17" s="86" t="n">
        <v>14</v>
      </c>
      <c r="B17" s="87" t="inlineStr">
        <is>
          <t>3.1.1</t>
        </is>
      </c>
      <c r="C17" s="86" t="n">
        <v>2</v>
      </c>
      <c r="D17" s="87" t="inlineStr">
        <is>
          <t xml:space="preserve">    User Authentication</t>
        </is>
      </c>
      <c r="E17" s="87" t="inlineStr">
        <is>
          <t>Task</t>
        </is>
      </c>
      <c r="F17" s="87" t="inlineStr">
        <is>
          <t>Completed</t>
        </is>
      </c>
      <c r="G17" s="87" t="inlineStr">
        <is>
          <t>High</t>
        </is>
      </c>
      <c r="H17" s="88" t="n">
        <v>45705</v>
      </c>
      <c r="I17" s="88" t="n">
        <v>45714</v>
      </c>
      <c r="J17" s="86">
        <f>I17-H17+1</f>
        <v/>
      </c>
      <c r="K17" s="89" t="n">
        <v>1</v>
      </c>
      <c r="L17" s="87" t="inlineStr">
        <is>
          <t>R06</t>
        </is>
      </c>
      <c r="M17" s="89" t="n">
        <v>0.8</v>
      </c>
      <c r="N17" s="87" t="inlineStr"/>
      <c r="O17" s="89" t="n"/>
      <c r="P17" s="87" t="inlineStr"/>
      <c r="Q17" s="89" t="n"/>
      <c r="R17" s="90" t="n">
        <v>6000</v>
      </c>
      <c r="S17" s="87" t="inlineStr"/>
      <c r="T17" s="87" t="inlineStr"/>
    </row>
    <row r="18" ht="18" customHeight="1">
      <c r="A18" s="86" t="n">
        <v>15</v>
      </c>
      <c r="B18" s="87" t="inlineStr">
        <is>
          <t>3.1.2</t>
        </is>
      </c>
      <c r="C18" s="86" t="n">
        <v>2</v>
      </c>
      <c r="D18" s="87" t="inlineStr">
        <is>
          <t xml:space="preserve">    Data Models</t>
        </is>
      </c>
      <c r="E18" s="87" t="inlineStr">
        <is>
          <t>Task</t>
        </is>
      </c>
      <c r="F18" s="87" t="inlineStr">
        <is>
          <t>Completed</t>
        </is>
      </c>
      <c r="G18" s="87" t="inlineStr">
        <is>
          <t>Medium</t>
        </is>
      </c>
      <c r="H18" s="88" t="n">
        <v>45715</v>
      </c>
      <c r="I18" s="88" t="n">
        <v>45724</v>
      </c>
      <c r="J18" s="86">
        <f>I18-H18+1</f>
        <v/>
      </c>
      <c r="K18" s="89" t="n">
        <v>1</v>
      </c>
      <c r="L18" s="87" t="inlineStr">
        <is>
          <t>R02</t>
        </is>
      </c>
      <c r="M18" s="89" t="n">
        <v>0.8</v>
      </c>
      <c r="N18" s="87" t="inlineStr"/>
      <c r="O18" s="89" t="n"/>
      <c r="P18" s="87" t="inlineStr"/>
      <c r="Q18" s="89" t="n"/>
      <c r="R18" s="90" t="n">
        <v>6000</v>
      </c>
      <c r="S18" s="87" t="inlineStr"/>
      <c r="T18" s="87" t="inlineStr"/>
    </row>
    <row r="19" ht="18" customHeight="1">
      <c r="A19" s="86" t="n">
        <v>16</v>
      </c>
      <c r="B19" s="87" t="inlineStr">
        <is>
          <t>3.1.3</t>
        </is>
      </c>
      <c r="C19" s="86" t="n">
        <v>2</v>
      </c>
      <c r="D19" s="87" t="inlineStr">
        <is>
          <t xml:space="preserve">    REST API Endpoints</t>
        </is>
      </c>
      <c r="E19" s="87" t="inlineStr">
        <is>
          <t>Task</t>
        </is>
      </c>
      <c r="F19" s="87" t="inlineStr">
        <is>
          <t>In Progress</t>
        </is>
      </c>
      <c r="G19" s="87" t="inlineStr">
        <is>
          <t>High</t>
        </is>
      </c>
      <c r="H19" s="88" t="n">
        <v>45725</v>
      </c>
      <c r="I19" s="88" t="n">
        <v>45732</v>
      </c>
      <c r="J19" s="86">
        <f>I19-H19+1</f>
        <v/>
      </c>
      <c r="K19" s="89" t="n">
        <v>0.5</v>
      </c>
      <c r="L19" s="87" t="inlineStr">
        <is>
          <t>R02</t>
        </is>
      </c>
      <c r="M19" s="89" t="n">
        <v>0.8</v>
      </c>
      <c r="N19" s="87" t="inlineStr">
        <is>
          <t>R06</t>
        </is>
      </c>
      <c r="O19" s="89" t="n">
        <v>0.2</v>
      </c>
      <c r="P19" s="87" t="inlineStr"/>
      <c r="Q19" s="89" t="n"/>
      <c r="R19" s="90" t="n">
        <v>4800</v>
      </c>
      <c r="S19" s="87" t="inlineStr"/>
      <c r="T19" s="87" t="inlineStr"/>
    </row>
    <row r="20" ht="18" customHeight="1">
      <c r="A20" s="81" t="n">
        <v>17</v>
      </c>
      <c r="B20" s="82" t="inlineStr">
        <is>
          <t>3.2</t>
        </is>
      </c>
      <c r="C20" s="81" t="n">
        <v>1</v>
      </c>
      <c r="D20" s="82" t="inlineStr">
        <is>
          <t xml:space="preserve">  Frontend Development</t>
        </is>
      </c>
      <c r="E20" s="82" t="inlineStr">
        <is>
          <t>Feature</t>
        </is>
      </c>
      <c r="F20" s="82" t="inlineStr">
        <is>
          <t>In Progress</t>
        </is>
      </c>
      <c r="G20" s="82" t="inlineStr">
        <is>
          <t>High</t>
        </is>
      </c>
      <c r="H20" s="83" t="n">
        <v>45719</v>
      </c>
      <c r="I20" s="83" t="n">
        <v>45746</v>
      </c>
      <c r="J20" s="81">
        <f>I20-H20+1</f>
        <v/>
      </c>
      <c r="K20" s="84" t="n">
        <v>0.4</v>
      </c>
      <c r="L20" s="82" t="inlineStr">
        <is>
          <t>R07</t>
        </is>
      </c>
      <c r="M20" s="84" t="n">
        <v>0.8</v>
      </c>
      <c r="N20" s="82" t="inlineStr"/>
      <c r="O20" s="84" t="n"/>
      <c r="P20" s="82" t="inlineStr"/>
      <c r="Q20" s="84" t="n"/>
      <c r="R20" s="85" t="n">
        <v>16800</v>
      </c>
      <c r="S20" s="82" t="inlineStr"/>
      <c r="T20" s="82" t="inlineStr"/>
    </row>
    <row r="21" ht="18" customHeight="1">
      <c r="A21" s="86" t="n">
        <v>18</v>
      </c>
      <c r="B21" s="87" t="inlineStr">
        <is>
          <t>3.2.1</t>
        </is>
      </c>
      <c r="C21" s="86" t="n">
        <v>2</v>
      </c>
      <c r="D21" s="87" t="inlineStr">
        <is>
          <t xml:space="preserve">    Component Library</t>
        </is>
      </c>
      <c r="E21" s="87" t="inlineStr">
        <is>
          <t>Task</t>
        </is>
      </c>
      <c r="F21" s="87" t="inlineStr">
        <is>
          <t>Completed</t>
        </is>
      </c>
      <c r="G21" s="87" t="inlineStr">
        <is>
          <t>Medium</t>
        </is>
      </c>
      <c r="H21" s="88" t="n">
        <v>45719</v>
      </c>
      <c r="I21" s="88" t="n">
        <v>45732</v>
      </c>
      <c r="J21" s="86">
        <f>I21-H21+1</f>
        <v/>
      </c>
      <c r="K21" s="89" t="n">
        <v>1</v>
      </c>
      <c r="L21" s="87" t="inlineStr">
        <is>
          <t>R07</t>
        </is>
      </c>
      <c r="M21" s="89" t="n">
        <v>0.8</v>
      </c>
      <c r="N21" s="87" t="inlineStr"/>
      <c r="O21" s="89" t="n"/>
      <c r="P21" s="87" t="inlineStr"/>
      <c r="Q21" s="89" t="n"/>
      <c r="R21" s="90" t="n">
        <v>8400</v>
      </c>
      <c r="S21" s="87" t="inlineStr"/>
      <c r="T21" s="87" t="inlineStr"/>
    </row>
    <row r="22" ht="18" customHeight="1">
      <c r="A22" s="86" t="n">
        <v>19</v>
      </c>
      <c r="B22" s="87" t="inlineStr">
        <is>
          <t>3.2.2</t>
        </is>
      </c>
      <c r="C22" s="86" t="n">
        <v>2</v>
      </c>
      <c r="D22" s="87" t="inlineStr">
        <is>
          <t xml:space="preserve">    Dashboard Views</t>
        </is>
      </c>
      <c r="E22" s="87" t="inlineStr">
        <is>
          <t>Task</t>
        </is>
      </c>
      <c r="F22" s="87" t="inlineStr">
        <is>
          <t>In Progress</t>
        </is>
      </c>
      <c r="G22" s="87" t="inlineStr">
        <is>
          <t>High</t>
        </is>
      </c>
      <c r="H22" s="88" t="n">
        <v>45733</v>
      </c>
      <c r="I22" s="88" t="n">
        <v>45746</v>
      </c>
      <c r="J22" s="86">
        <f>I22-H22+1</f>
        <v/>
      </c>
      <c r="K22" s="89" t="n">
        <v>0.3</v>
      </c>
      <c r="L22" s="87" t="inlineStr">
        <is>
          <t>R07</t>
        </is>
      </c>
      <c r="M22" s="89" t="n">
        <v>0.8</v>
      </c>
      <c r="N22" s="87" t="inlineStr"/>
      <c r="O22" s="89" t="n"/>
      <c r="P22" s="87" t="inlineStr"/>
      <c r="Q22" s="89" t="n"/>
      <c r="R22" s="90" t="n">
        <v>8400</v>
      </c>
      <c r="S22" s="87" t="inlineStr"/>
      <c r="T22" s="87" t="inlineStr"/>
    </row>
    <row r="23" ht="18" customHeight="1">
      <c r="A23" s="91" t="n">
        <v>20</v>
      </c>
      <c r="B23" s="92" t="inlineStr">
        <is>
          <t>3.3</t>
        </is>
      </c>
      <c r="C23" s="91" t="n">
        <v>1</v>
      </c>
      <c r="D23" s="93" t="inlineStr">
        <is>
          <t xml:space="preserve">  ◆ Sprint 1 Review</t>
        </is>
      </c>
      <c r="E23" s="92" t="inlineStr">
        <is>
          <t>Milestone</t>
        </is>
      </c>
      <c r="F23" s="92" t="inlineStr">
        <is>
          <t>Planned</t>
        </is>
      </c>
      <c r="G23" s="92" t="inlineStr">
        <is>
          <t>Critical</t>
        </is>
      </c>
      <c r="H23" s="94" t="n">
        <v>45747</v>
      </c>
      <c r="I23" s="94" t="n">
        <v>45747</v>
      </c>
      <c r="J23" s="91">
        <f>I23-H23+1</f>
        <v/>
      </c>
      <c r="K23" s="95" t="n">
        <v>0</v>
      </c>
      <c r="L23" s="92" t="inlineStr">
        <is>
          <t>R01</t>
        </is>
      </c>
      <c r="M23" s="95" t="n">
        <v>0.8</v>
      </c>
      <c r="N23" s="92" t="inlineStr"/>
      <c r="O23" s="95" t="n"/>
      <c r="P23" s="92" t="inlineStr"/>
      <c r="Q23" s="95" t="n"/>
      <c r="R23" s="96" t="n">
        <v>600</v>
      </c>
      <c r="S23" s="92" t="inlineStr"/>
      <c r="T23" s="92" t="inlineStr"/>
    </row>
    <row r="24" ht="18" customHeight="1">
      <c r="A24" s="75" t="n">
        <v>21</v>
      </c>
      <c r="B24" s="76" t="inlineStr">
        <is>
          <t>4</t>
        </is>
      </c>
      <c r="C24" s="75" t="n">
        <v>0</v>
      </c>
      <c r="D24" s="77" t="inlineStr">
        <is>
          <t>Development Sprint 2</t>
        </is>
      </c>
      <c r="E24" s="76" t="inlineStr">
        <is>
          <t>Epic</t>
        </is>
      </c>
      <c r="F24" s="76" t="inlineStr">
        <is>
          <t>Planned</t>
        </is>
      </c>
      <c r="G24" s="76" t="inlineStr">
        <is>
          <t>High</t>
        </is>
      </c>
      <c r="H24" s="78" t="n">
        <v>45747</v>
      </c>
      <c r="I24" s="78" t="n">
        <v>45788</v>
      </c>
      <c r="J24" s="75">
        <f>I24-H24+1</f>
        <v/>
      </c>
      <c r="K24" s="79" t="n">
        <v>0</v>
      </c>
      <c r="L24" s="76" t="inlineStr">
        <is>
          <t>R02</t>
        </is>
      </c>
      <c r="M24" s="79" t="n">
        <v>0.8</v>
      </c>
      <c r="N24" s="76" t="inlineStr">
        <is>
          <t>R06</t>
        </is>
      </c>
      <c r="O24" s="79" t="n">
        <v>0.2</v>
      </c>
      <c r="P24" s="76" t="inlineStr">
        <is>
          <t>R07</t>
        </is>
      </c>
      <c r="Q24" s="79" t="n">
        <v>0.2</v>
      </c>
      <c r="R24" s="80" t="n">
        <v>25200</v>
      </c>
      <c r="S24" s="76" t="inlineStr"/>
      <c r="T24" s="76" t="inlineStr"/>
    </row>
    <row r="25" ht="18" customHeight="1">
      <c r="A25" s="81" t="n">
        <v>22</v>
      </c>
      <c r="B25" s="82" t="inlineStr">
        <is>
          <t>4.1</t>
        </is>
      </c>
      <c r="C25" s="81" t="n">
        <v>1</v>
      </c>
      <c r="D25" s="82" t="inlineStr">
        <is>
          <t xml:space="preserve">  Integration Development</t>
        </is>
      </c>
      <c r="E25" s="82" t="inlineStr">
        <is>
          <t>Feature</t>
        </is>
      </c>
      <c r="F25" s="82" t="inlineStr">
        <is>
          <t>Planned</t>
        </is>
      </c>
      <c r="G25" s="82" t="inlineStr">
        <is>
          <t>High</t>
        </is>
      </c>
      <c r="H25" s="83" t="n">
        <v>45747</v>
      </c>
      <c r="I25" s="83" t="n">
        <v>45767</v>
      </c>
      <c r="J25" s="81">
        <f>I25-H25+1</f>
        <v/>
      </c>
      <c r="K25" s="84" t="n">
        <v>0</v>
      </c>
      <c r="L25" s="82" t="inlineStr">
        <is>
          <t>R02</t>
        </is>
      </c>
      <c r="M25" s="84" t="n">
        <v>0.8</v>
      </c>
      <c r="N25" s="82" t="inlineStr">
        <is>
          <t>R07</t>
        </is>
      </c>
      <c r="O25" s="84" t="n">
        <v>0.2</v>
      </c>
      <c r="P25" s="82" t="inlineStr"/>
      <c r="Q25" s="84" t="n"/>
      <c r="R25" s="85" t="n">
        <v>12600</v>
      </c>
      <c r="S25" s="82" t="inlineStr"/>
      <c r="T25" s="82" t="inlineStr"/>
    </row>
    <row r="26" ht="18" customHeight="1">
      <c r="A26" s="81" t="n">
        <v>23</v>
      </c>
      <c r="B26" s="82" t="inlineStr">
        <is>
          <t>4.2</t>
        </is>
      </c>
      <c r="C26" s="81" t="n">
        <v>1</v>
      </c>
      <c r="D26" s="82" t="inlineStr">
        <is>
          <t xml:space="preserve">  Performance Optimization</t>
        </is>
      </c>
      <c r="E26" s="82" t="inlineStr">
        <is>
          <t>Feature</t>
        </is>
      </c>
      <c r="F26" s="82" t="inlineStr">
        <is>
          <t>Planned</t>
        </is>
      </c>
      <c r="G26" s="82" t="inlineStr">
        <is>
          <t>Medium</t>
        </is>
      </c>
      <c r="H26" s="83" t="n">
        <v>45768</v>
      </c>
      <c r="I26" s="83" t="n">
        <v>45788</v>
      </c>
      <c r="J26" s="81">
        <f>I26-H26+1</f>
        <v/>
      </c>
      <c r="K26" s="84" t="n">
        <v>0</v>
      </c>
      <c r="L26" s="82" t="inlineStr">
        <is>
          <t>R06</t>
        </is>
      </c>
      <c r="M26" s="84" t="n">
        <v>0.8</v>
      </c>
      <c r="N26" s="82" t="inlineStr"/>
      <c r="O26" s="84" t="n"/>
      <c r="P26" s="82" t="inlineStr"/>
      <c r="Q26" s="84" t="n"/>
      <c r="R26" s="85" t="n">
        <v>12600</v>
      </c>
      <c r="S26" s="82" t="inlineStr"/>
      <c r="T26" s="82" t="inlineStr"/>
    </row>
    <row r="27" ht="18" customHeight="1">
      <c r="A27" s="97" t="n">
        <v>24</v>
      </c>
      <c r="B27" s="98" t="inlineStr">
        <is>
          <t>4.3</t>
        </is>
      </c>
      <c r="C27" s="97" t="n">
        <v>1</v>
      </c>
      <c r="D27" s="99" t="inlineStr">
        <is>
          <t xml:space="preserve">  ★ Sprint 2 Deliverable</t>
        </is>
      </c>
      <c r="E27" s="98" t="inlineStr">
        <is>
          <t>Deliverable</t>
        </is>
      </c>
      <c r="F27" s="98" t="inlineStr">
        <is>
          <t>Planned</t>
        </is>
      </c>
      <c r="G27" s="98" t="inlineStr">
        <is>
          <t>Critical</t>
        </is>
      </c>
      <c r="H27" s="100" t="n">
        <v>45789</v>
      </c>
      <c r="I27" s="100" t="n">
        <v>45789</v>
      </c>
      <c r="J27" s="97">
        <f>I27-H27+1</f>
        <v/>
      </c>
      <c r="K27" s="101" t="n">
        <v>0</v>
      </c>
      <c r="L27" s="98" t="inlineStr">
        <is>
          <t>R01</t>
        </is>
      </c>
      <c r="M27" s="101" t="n">
        <v>0.8</v>
      </c>
      <c r="N27" s="98" t="inlineStr"/>
      <c r="O27" s="101" t="n"/>
      <c r="P27" s="98" t="inlineStr"/>
      <c r="Q27" s="101" t="n"/>
      <c r="R27" s="102" t="n">
        <v>600</v>
      </c>
      <c r="S27" s="98" t="inlineStr"/>
      <c r="T27" s="98" t="inlineStr"/>
    </row>
    <row r="28" ht="18" customHeight="1">
      <c r="A28" s="75" t="n">
        <v>25</v>
      </c>
      <c r="B28" s="76" t="inlineStr">
        <is>
          <t>5</t>
        </is>
      </c>
      <c r="C28" s="75" t="n">
        <v>0</v>
      </c>
      <c r="D28" s="77" t="inlineStr">
        <is>
          <t>Testing &amp; QA</t>
        </is>
      </c>
      <c r="E28" s="76" t="inlineStr">
        <is>
          <t>Epic</t>
        </is>
      </c>
      <c r="F28" s="76" t="inlineStr">
        <is>
          <t>Planned</t>
        </is>
      </c>
      <c r="G28" s="76" t="inlineStr">
        <is>
          <t>High</t>
        </is>
      </c>
      <c r="H28" s="78" t="n">
        <v>45783</v>
      </c>
      <c r="I28" s="78" t="n">
        <v>45810</v>
      </c>
      <c r="J28" s="75">
        <f>I28-H28+1</f>
        <v/>
      </c>
      <c r="K28" s="79" t="n">
        <v>0</v>
      </c>
      <c r="L28" s="76" t="inlineStr">
        <is>
          <t>R04</t>
        </is>
      </c>
      <c r="M28" s="79" t="n">
        <v>0.8</v>
      </c>
      <c r="N28" s="76" t="inlineStr">
        <is>
          <t>R02</t>
        </is>
      </c>
      <c r="O28" s="79" t="n">
        <v>0.2</v>
      </c>
      <c r="P28" s="76" t="inlineStr"/>
      <c r="Q28" s="79" t="n"/>
      <c r="R28" s="80" t="n">
        <v>16800</v>
      </c>
      <c r="S28" s="76" t="inlineStr"/>
      <c r="T28" s="76" t="inlineStr"/>
    </row>
    <row r="29" ht="18" customHeight="1">
      <c r="A29" s="81" t="n">
        <v>26</v>
      </c>
      <c r="B29" s="82" t="inlineStr">
        <is>
          <t>5.1</t>
        </is>
      </c>
      <c r="C29" s="81" t="n">
        <v>1</v>
      </c>
      <c r="D29" s="82" t="inlineStr">
        <is>
          <t xml:space="preserve">  Unit Testing</t>
        </is>
      </c>
      <c r="E29" s="82" t="inlineStr">
        <is>
          <t>Feature</t>
        </is>
      </c>
      <c r="F29" s="82" t="inlineStr">
        <is>
          <t>Planned</t>
        </is>
      </c>
      <c r="G29" s="82" t="inlineStr">
        <is>
          <t>Medium</t>
        </is>
      </c>
      <c r="H29" s="83" t="n">
        <v>45783</v>
      </c>
      <c r="I29" s="83" t="n">
        <v>45796</v>
      </c>
      <c r="J29" s="81">
        <f>I29-H29+1</f>
        <v/>
      </c>
      <c r="K29" s="84" t="n">
        <v>0</v>
      </c>
      <c r="L29" s="82" t="inlineStr">
        <is>
          <t>R02</t>
        </is>
      </c>
      <c r="M29" s="84" t="n">
        <v>0.8</v>
      </c>
      <c r="N29" s="82" t="inlineStr"/>
      <c r="O29" s="84" t="n"/>
      <c r="P29" s="82" t="inlineStr"/>
      <c r="Q29" s="84" t="n"/>
      <c r="R29" s="85" t="n">
        <v>8400</v>
      </c>
      <c r="S29" s="82" t="inlineStr"/>
      <c r="T29" s="82" t="inlineStr"/>
    </row>
    <row r="30" ht="18" customHeight="1">
      <c r="A30" s="81" t="n">
        <v>27</v>
      </c>
      <c r="B30" s="82" t="inlineStr">
        <is>
          <t>5.2</t>
        </is>
      </c>
      <c r="C30" s="81" t="n">
        <v>1</v>
      </c>
      <c r="D30" s="82" t="inlineStr">
        <is>
          <t xml:space="preserve">  Integration Testing</t>
        </is>
      </c>
      <c r="E30" s="82" t="inlineStr">
        <is>
          <t>Feature</t>
        </is>
      </c>
      <c r="F30" s="82" t="inlineStr">
        <is>
          <t>Planned</t>
        </is>
      </c>
      <c r="G30" s="82" t="inlineStr">
        <is>
          <t>High</t>
        </is>
      </c>
      <c r="H30" s="83" t="n">
        <v>45797</v>
      </c>
      <c r="I30" s="83" t="n">
        <v>45810</v>
      </c>
      <c r="J30" s="81">
        <f>I30-H30+1</f>
        <v/>
      </c>
      <c r="K30" s="84" t="n">
        <v>0</v>
      </c>
      <c r="L30" s="82" t="inlineStr">
        <is>
          <t>R04</t>
        </is>
      </c>
      <c r="M30" s="84" t="n">
        <v>0.8</v>
      </c>
      <c r="N30" s="82" t="inlineStr"/>
      <c r="O30" s="84" t="n"/>
      <c r="P30" s="82" t="inlineStr"/>
      <c r="Q30" s="84" t="n"/>
      <c r="R30" s="85" t="n">
        <v>8400</v>
      </c>
      <c r="S30" s="82" t="inlineStr"/>
      <c r="T30" s="82" t="inlineStr"/>
    </row>
    <row r="31" ht="18" customHeight="1">
      <c r="A31" s="81" t="n">
        <v>28</v>
      </c>
      <c r="B31" s="82" t="inlineStr">
        <is>
          <t>5.3</t>
        </is>
      </c>
      <c r="C31" s="81" t="n">
        <v>1</v>
      </c>
      <c r="D31" s="82" t="inlineStr">
        <is>
          <t xml:space="preserve">  UAT</t>
        </is>
      </c>
      <c r="E31" s="82" t="inlineStr">
        <is>
          <t>Feature</t>
        </is>
      </c>
      <c r="F31" s="82" t="inlineStr">
        <is>
          <t>Planned</t>
        </is>
      </c>
      <c r="G31" s="82" t="inlineStr">
        <is>
          <t>High</t>
        </is>
      </c>
      <c r="H31" s="83" t="n">
        <v>45811</v>
      </c>
      <c r="I31" s="83" t="n">
        <v>45820</v>
      </c>
      <c r="J31" s="81">
        <f>I31-H31+1</f>
        <v/>
      </c>
      <c r="K31" s="84" t="n">
        <v>0</v>
      </c>
      <c r="L31" s="82" t="inlineStr">
        <is>
          <t>R01</t>
        </is>
      </c>
      <c r="M31" s="84" t="n">
        <v>0.8</v>
      </c>
      <c r="N31" s="82" t="inlineStr">
        <is>
          <t>R04</t>
        </is>
      </c>
      <c r="O31" s="84" t="n">
        <v>0.2</v>
      </c>
      <c r="P31" s="82" t="inlineStr">
        <is>
          <t>R05</t>
        </is>
      </c>
      <c r="Q31" s="84" t="n">
        <v>0.2</v>
      </c>
      <c r="R31" s="85" t="n">
        <v>6000</v>
      </c>
      <c r="S31" s="82" t="inlineStr"/>
      <c r="T31" s="82" t="inlineStr"/>
    </row>
    <row r="32" ht="18" customHeight="1">
      <c r="A32" s="91" t="n">
        <v>29</v>
      </c>
      <c r="B32" s="92" t="inlineStr">
        <is>
          <t>5.4</t>
        </is>
      </c>
      <c r="C32" s="91" t="n">
        <v>1</v>
      </c>
      <c r="D32" s="93" t="inlineStr">
        <is>
          <t xml:space="preserve">  ◆ Testing Sign-off</t>
        </is>
      </c>
      <c r="E32" s="92" t="inlineStr">
        <is>
          <t>Milestone</t>
        </is>
      </c>
      <c r="F32" s="92" t="inlineStr">
        <is>
          <t>Planned</t>
        </is>
      </c>
      <c r="G32" s="92" t="inlineStr">
        <is>
          <t>Critical</t>
        </is>
      </c>
      <c r="H32" s="94" t="n">
        <v>45821</v>
      </c>
      <c r="I32" s="94" t="n">
        <v>45821</v>
      </c>
      <c r="J32" s="91">
        <f>I32-H32+1</f>
        <v/>
      </c>
      <c r="K32" s="95" t="n">
        <v>0</v>
      </c>
      <c r="L32" s="92" t="inlineStr">
        <is>
          <t>R01</t>
        </is>
      </c>
      <c r="M32" s="95" t="n">
        <v>0.8</v>
      </c>
      <c r="N32" s="92" t="inlineStr"/>
      <c r="O32" s="95" t="n"/>
      <c r="P32" s="92" t="inlineStr"/>
      <c r="Q32" s="95" t="n"/>
      <c r="R32" s="96" t="n">
        <v>600</v>
      </c>
      <c r="S32" s="92" t="inlineStr"/>
      <c r="T32" s="92" t="inlineStr"/>
    </row>
    <row r="33" ht="18" customHeight="1">
      <c r="A33" s="75" t="n">
        <v>30</v>
      </c>
      <c r="B33" s="76" t="inlineStr">
        <is>
          <t>6</t>
        </is>
      </c>
      <c r="C33" s="75" t="n">
        <v>0</v>
      </c>
      <c r="D33" s="77" t="inlineStr">
        <is>
          <t>Deployment</t>
        </is>
      </c>
      <c r="E33" s="76" t="inlineStr">
        <is>
          <t>Epic</t>
        </is>
      </c>
      <c r="F33" s="76" t="inlineStr">
        <is>
          <t>Planned</t>
        </is>
      </c>
      <c r="G33" s="76" t="inlineStr">
        <is>
          <t>Critical</t>
        </is>
      </c>
      <c r="H33" s="78" t="n">
        <v>45821</v>
      </c>
      <c r="I33" s="78" t="n">
        <v>45834</v>
      </c>
      <c r="J33" s="75">
        <f>I33-H33+1</f>
        <v/>
      </c>
      <c r="K33" s="79" t="n">
        <v>0</v>
      </c>
      <c r="L33" s="76" t="inlineStr">
        <is>
          <t>R08</t>
        </is>
      </c>
      <c r="M33" s="79" t="n">
        <v>0.8</v>
      </c>
      <c r="N33" s="76" t="inlineStr">
        <is>
          <t>R02</t>
        </is>
      </c>
      <c r="O33" s="79" t="n">
        <v>0.2</v>
      </c>
      <c r="P33" s="76" t="inlineStr"/>
      <c r="Q33" s="79" t="n"/>
      <c r="R33" s="80" t="n">
        <v>8400</v>
      </c>
      <c r="S33" s="76" t="inlineStr"/>
      <c r="T33" s="76" t="inlineStr"/>
    </row>
    <row r="34" ht="18" customHeight="1">
      <c r="A34" s="86" t="n">
        <v>31</v>
      </c>
      <c r="B34" s="87" t="inlineStr">
        <is>
          <t>6.1</t>
        </is>
      </c>
      <c r="C34" s="86" t="n">
        <v>1</v>
      </c>
      <c r="D34" s="87" t="inlineStr">
        <is>
          <t xml:space="preserve">  Staging Deployment</t>
        </is>
      </c>
      <c r="E34" s="87" t="inlineStr">
        <is>
          <t>Task</t>
        </is>
      </c>
      <c r="F34" s="87" t="inlineStr">
        <is>
          <t>Planned</t>
        </is>
      </c>
      <c r="G34" s="87" t="inlineStr">
        <is>
          <t>High</t>
        </is>
      </c>
      <c r="H34" s="88" t="n">
        <v>45821</v>
      </c>
      <c r="I34" s="88" t="n">
        <v>45827</v>
      </c>
      <c r="J34" s="86">
        <f>I34-H34+1</f>
        <v/>
      </c>
      <c r="K34" s="89" t="n">
        <v>0</v>
      </c>
      <c r="L34" s="87" t="inlineStr">
        <is>
          <t>R08</t>
        </is>
      </c>
      <c r="M34" s="89" t="n">
        <v>0.8</v>
      </c>
      <c r="N34" s="87" t="inlineStr"/>
      <c r="O34" s="89" t="n"/>
      <c r="P34" s="87" t="inlineStr"/>
      <c r="Q34" s="89" t="n"/>
      <c r="R34" s="90" t="n">
        <v>4200</v>
      </c>
      <c r="S34" s="87" t="inlineStr"/>
      <c r="T34" s="87" t="inlineStr"/>
    </row>
    <row r="35" ht="18" customHeight="1">
      <c r="A35" s="97" t="n">
        <v>32</v>
      </c>
      <c r="B35" s="98" t="inlineStr">
        <is>
          <t>6.2</t>
        </is>
      </c>
      <c r="C35" s="97" t="n">
        <v>1</v>
      </c>
      <c r="D35" s="99" t="inlineStr">
        <is>
          <t xml:space="preserve">  ★ Production Deployment</t>
        </is>
      </c>
      <c r="E35" s="98" t="inlineStr">
        <is>
          <t>Deliverable</t>
        </is>
      </c>
      <c r="F35" s="98" t="inlineStr">
        <is>
          <t>Planned</t>
        </is>
      </c>
      <c r="G35" s="98" t="inlineStr">
        <is>
          <t>Critical</t>
        </is>
      </c>
      <c r="H35" s="100" t="n">
        <v>45828</v>
      </c>
      <c r="I35" s="100" t="n">
        <v>45830</v>
      </c>
      <c r="J35" s="97">
        <f>I35-H35+1</f>
        <v/>
      </c>
      <c r="K35" s="101" t="n">
        <v>0</v>
      </c>
      <c r="L35" s="98" t="inlineStr">
        <is>
          <t>R08</t>
        </is>
      </c>
      <c r="M35" s="101" t="n">
        <v>0.8</v>
      </c>
      <c r="N35" s="98" t="inlineStr">
        <is>
          <t>R01</t>
        </is>
      </c>
      <c r="O35" s="101" t="n">
        <v>0.2</v>
      </c>
      <c r="P35" s="98" t="inlineStr"/>
      <c r="Q35" s="101" t="n"/>
      <c r="R35" s="102" t="n">
        <v>1800</v>
      </c>
      <c r="S35" s="98" t="inlineStr"/>
      <c r="T35" s="98" t="inlineStr"/>
    </row>
    <row r="36" ht="18" customHeight="1">
      <c r="A36" s="91" t="n">
        <v>33</v>
      </c>
      <c r="B36" s="92" t="inlineStr">
        <is>
          <t>6.3</t>
        </is>
      </c>
      <c r="C36" s="91" t="n">
        <v>1</v>
      </c>
      <c r="D36" s="93" t="inlineStr">
        <is>
          <t xml:space="preserve">  ◆ Go Live</t>
        </is>
      </c>
      <c r="E36" s="92" t="inlineStr">
        <is>
          <t>Milestone</t>
        </is>
      </c>
      <c r="F36" s="92" t="inlineStr">
        <is>
          <t>Planned</t>
        </is>
      </c>
      <c r="G36" s="92" t="inlineStr">
        <is>
          <t>Critical</t>
        </is>
      </c>
      <c r="H36" s="94" t="n">
        <v>45831</v>
      </c>
      <c r="I36" s="94" t="n">
        <v>45831</v>
      </c>
      <c r="J36" s="91">
        <f>I36-H36+1</f>
        <v/>
      </c>
      <c r="K36" s="95" t="n">
        <v>0</v>
      </c>
      <c r="L36" s="92" t="inlineStr">
        <is>
          <t>R01</t>
        </is>
      </c>
      <c r="M36" s="95" t="n">
        <v>0.8</v>
      </c>
      <c r="N36" s="92" t="inlineStr"/>
      <c r="O36" s="95" t="n"/>
      <c r="P36" s="92" t="inlineStr"/>
      <c r="Q36" s="95" t="n"/>
      <c r="R36" s="96" t="n">
        <v>600</v>
      </c>
      <c r="S36" s="92" t="inlineStr"/>
      <c r="T36" s="92" t="inlineStr"/>
    </row>
    <row r="37" ht="18" customHeight="1">
      <c r="A37" s="81" t="n">
        <v>34</v>
      </c>
      <c r="B37" s="82" t="inlineStr">
        <is>
          <t>7</t>
        </is>
      </c>
      <c r="C37" s="81" t="n">
        <v>0</v>
      </c>
      <c r="D37" s="82" t="inlineStr">
        <is>
          <t>Post-Launch Support</t>
        </is>
      </c>
      <c r="E37" s="82" t="inlineStr">
        <is>
          <t>Feature</t>
        </is>
      </c>
      <c r="F37" s="82" t="inlineStr">
        <is>
          <t>Planned</t>
        </is>
      </c>
      <c r="G37" s="82" t="inlineStr">
        <is>
          <t>Medium</t>
        </is>
      </c>
      <c r="H37" s="83" t="n">
        <v>45832</v>
      </c>
      <c r="I37" s="83" t="n">
        <v>45845</v>
      </c>
      <c r="J37" s="81">
        <f>I37-H37+1</f>
        <v/>
      </c>
      <c r="K37" s="84" t="n">
        <v>0</v>
      </c>
      <c r="L37" s="82" t="inlineStr">
        <is>
          <t>R02</t>
        </is>
      </c>
      <c r="M37" s="84" t="n">
        <v>0.8</v>
      </c>
      <c r="N37" s="82" t="inlineStr">
        <is>
          <t>R04</t>
        </is>
      </c>
      <c r="O37" s="84" t="n">
        <v>0.2</v>
      </c>
      <c r="P37" s="82" t="inlineStr"/>
      <c r="Q37" s="84" t="n"/>
      <c r="R37" s="85" t="n">
        <v>8400</v>
      </c>
      <c r="S37" s="82" t="inlineStr"/>
      <c r="T37" s="82" t="inlineStr"/>
    </row>
    <row r="38" ht="18" customHeight="1">
      <c r="A38" s="97" t="n">
        <v>35</v>
      </c>
      <c r="B38" s="98" t="inlineStr">
        <is>
          <t>7.1</t>
        </is>
      </c>
      <c r="C38" s="97" t="n">
        <v>1</v>
      </c>
      <c r="D38" s="99" t="inlineStr">
        <is>
          <t xml:space="preserve">  ★ Project Closure Report</t>
        </is>
      </c>
      <c r="E38" s="98" t="inlineStr">
        <is>
          <t>Deliverable</t>
        </is>
      </c>
      <c r="F38" s="98" t="inlineStr">
        <is>
          <t>Planned</t>
        </is>
      </c>
      <c r="G38" s="98" t="inlineStr">
        <is>
          <t>Medium</t>
        </is>
      </c>
      <c r="H38" s="100" t="n">
        <v>45846</v>
      </c>
      <c r="I38" s="100" t="n">
        <v>45852</v>
      </c>
      <c r="J38" s="97">
        <f>I38-H38+1</f>
        <v/>
      </c>
      <c r="K38" s="101" t="n">
        <v>0</v>
      </c>
      <c r="L38" s="98" t="inlineStr">
        <is>
          <t>R01</t>
        </is>
      </c>
      <c r="M38" s="101" t="n">
        <v>0.8</v>
      </c>
      <c r="N38" s="98" t="inlineStr">
        <is>
          <t>R05</t>
        </is>
      </c>
      <c r="O38" s="101" t="n">
        <v>0.2</v>
      </c>
      <c r="P38" s="98" t="inlineStr"/>
      <c r="Q38" s="101" t="n"/>
      <c r="R38" s="102" t="n">
        <v>4200</v>
      </c>
      <c r="S38" s="98" t="inlineStr"/>
      <c r="T38" s="98" t="inlineStr"/>
    </row>
  </sheetData>
  <mergeCells count="2">
    <mergeCell ref="A1:T1"/>
    <mergeCell ref="A2:T2"/>
  </mergeCells>
  <conditionalFormatting sqref="F4:F300">
    <cfRule type="expression" priority="1" dxfId="0">
      <formula>$F4="Not Started"</formula>
    </cfRule>
    <cfRule type="expression" priority="2" dxfId="1">
      <formula>$F4="Planned"</formula>
    </cfRule>
    <cfRule type="expression" priority="3" dxfId="2">
      <formula>$F4="In Progress"</formula>
    </cfRule>
    <cfRule type="expression" priority="4" dxfId="3">
      <formula>$F4="Completed"</formula>
    </cfRule>
    <cfRule type="expression" priority="5" dxfId="4">
      <formula>$F4="Delayed"</formula>
    </cfRule>
    <cfRule type="expression" priority="6" dxfId="5">
      <formula>$F4="On Hold"</formula>
    </cfRule>
    <cfRule type="expression" priority="7" dxfId="6">
      <formula>$F4="Cancelled"</formula>
    </cfRule>
  </conditionalFormatting>
  <conditionalFormatting sqref="G4:G300">
    <cfRule type="expression" priority="8" dxfId="3">
      <formula>$G4="Low"</formula>
    </cfRule>
    <cfRule type="expression" priority="9" dxfId="2">
      <formula>$G4="Medium"</formula>
    </cfRule>
    <cfRule type="expression" priority="10" dxfId="4">
      <formula>$G4="High"</formula>
    </cfRule>
    <cfRule type="expression" priority="11" dxfId="7">
      <formula>$G4="Critical"</formula>
    </cfRule>
  </conditionalFormatting>
  <conditionalFormatting sqref="H4:I300">
    <cfRule type="expression" priority="12" dxfId="8">
      <formula>AND($I4&lt;TODAY(),$F4&lt;&gt;"Completed",$F4&lt;&gt;"Cancelled")</formula>
    </cfRule>
  </conditionalFormatting>
  <dataValidations count="5">
    <dataValidation sqref="E4:E300" showDropDown="0" showInputMessage="0" showErrorMessage="0" allowBlank="0" type="list">
      <formula1>ItemTypeNames</formula1>
    </dataValidation>
    <dataValidation sqref="F4:F300" showDropDown="0" showInputMessage="0" showErrorMessage="0" allowBlank="0" type="list">
      <formula1>StatusNames</formula1>
    </dataValidation>
    <dataValidation sqref="G4:G300" showDropDown="0" showInputMessage="0" showErrorMessage="0" allowBlank="0" type="list">
      <formula1>PriorityNames</formula1>
    </dataValidation>
    <dataValidation sqref="L4:L300 N4:N300 P4:P300" showDropDown="0" showInputMessage="0" showErrorMessage="0" allowBlank="0" type="list">
      <formula1>ResourceNames</formula1>
    </dataValidation>
    <dataValidation sqref="M4:M300 O4:O300 Q4:Q300" showDropDown="0" showInputMessage="0" showErrorMessage="0" allowBlank="0" errorTitle="Invalid %" error="Enter 0–1 (e.g. 0.5 = 50%)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9"/>
  <sheetViews>
    <sheetView showGridLines="0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1" customWidth="1" min="4" max="4"/>
    <col width="12" customWidth="1" min="5" max="5"/>
    <col width="11" customWidth="1" min="6" max="6"/>
    <col width="11" customWidth="1" min="7" max="7"/>
    <col width="7" customWidth="1" min="8" max="8"/>
    <col width="8" customWidth="1" min="9" max="9"/>
    <col width="20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</cols>
  <sheetData>
    <row r="1" ht="36" customHeight="1">
      <c r="A1" s="1">
        <f>IFERROR(CFG_ProjectName&amp;"  –  GANTT CHART","PROJECT GANTT CHART")</f>
        <v/>
      </c>
    </row>
    <row r="2" ht="18" customHeight="1">
      <c r="A2" s="103" t="inlineStr">
        <is>
          <t xml:space="preserve">  Epic</t>
        </is>
      </c>
      <c r="B2" s="104" t="n"/>
      <c r="C2" s="105" t="inlineStr">
        <is>
          <t xml:space="preserve">  Feature</t>
        </is>
      </c>
      <c r="D2" s="104" t="n"/>
      <c r="E2" s="106" t="inlineStr">
        <is>
          <t xml:space="preserve">  Task</t>
        </is>
      </c>
      <c r="F2" s="104" t="n"/>
      <c r="G2" s="107" t="inlineStr">
        <is>
          <t xml:space="preserve">  Milestone</t>
        </is>
      </c>
      <c r="H2" s="104" t="n"/>
      <c r="I2" s="108" t="inlineStr">
        <is>
          <t xml:space="preserve">  Deliverable</t>
        </is>
      </c>
      <c r="J2" s="104" t="n"/>
      <c r="L2" s="27" t="inlineStr">
        <is>
          <t>Not Started</t>
        </is>
      </c>
      <c r="M2" s="29" t="inlineStr">
        <is>
          <t>Planned</t>
        </is>
      </c>
      <c r="N2" s="32" t="inlineStr">
        <is>
          <t>In Progress</t>
        </is>
      </c>
      <c r="O2" s="35" t="inlineStr">
        <is>
          <t>Completed</t>
        </is>
      </c>
      <c r="P2" s="37" t="inlineStr">
        <is>
          <t>Delayed</t>
        </is>
      </c>
      <c r="Q2" s="40" t="inlineStr">
        <is>
          <t>On Hold</t>
        </is>
      </c>
      <c r="R2" s="43" t="inlineStr">
        <is>
          <t>Cancelled</t>
        </is>
      </c>
    </row>
    <row r="3" ht="18" customHeight="1">
      <c r="K3" s="109" t="inlineStr">
        <is>
          <t>Jan 2025</t>
        </is>
      </c>
      <c r="O3" s="109" t="inlineStr">
        <is>
          <t>Feb 2025</t>
        </is>
      </c>
      <c r="S3" s="109" t="inlineStr">
        <is>
          <t>Mar 2025</t>
        </is>
      </c>
      <c r="X3" s="109" t="inlineStr">
        <is>
          <t>Apr 2025</t>
        </is>
      </c>
      <c r="AB3" s="109" t="inlineStr">
        <is>
          <t>May 2025</t>
        </is>
      </c>
      <c r="AF3" s="109" t="inlineStr">
        <is>
          <t>Jun 2025</t>
        </is>
      </c>
      <c r="AK3" s="109" t="inlineStr">
        <is>
          <t>Jul 2025</t>
        </is>
      </c>
      <c r="AO3" s="109" t="inlineStr">
        <is>
          <t>Aug 2025</t>
        </is>
      </c>
      <c r="AS3" s="109" t="inlineStr">
        <is>
          <t>Sep 2025</t>
        </is>
      </c>
      <c r="AX3" s="109" t="inlineStr">
        <is>
          <t>Oct 2025</t>
        </is>
      </c>
      <c r="BB3" s="109" t="inlineStr">
        <is>
          <t>Nov 2025</t>
        </is>
      </c>
      <c r="BF3" s="109" t="inlineStr">
        <is>
          <t>Dec 2025</t>
        </is>
      </c>
    </row>
    <row r="4" ht="28" customHeight="1">
      <c r="A4" s="110" t="inlineStr">
        <is>
          <t>ID</t>
        </is>
      </c>
      <c r="B4" s="110" t="inlineStr">
        <is>
          <t>WBS</t>
        </is>
      </c>
      <c r="C4" s="110" t="inlineStr">
        <is>
          <t>Task Name</t>
        </is>
      </c>
      <c r="D4" s="110" t="inlineStr">
        <is>
          <t>Type</t>
        </is>
      </c>
      <c r="E4" s="110" t="inlineStr">
        <is>
          <t>Status</t>
        </is>
      </c>
      <c r="F4" s="110" t="inlineStr">
        <is>
          <t>Start</t>
        </is>
      </c>
      <c r="G4" s="110" t="inlineStr">
        <is>
          <t>End</t>
        </is>
      </c>
      <c r="H4" s="110" t="inlineStr">
        <is>
          <t>Days</t>
        </is>
      </c>
      <c r="I4" s="110" t="inlineStr">
        <is>
          <t>Done %</t>
        </is>
      </c>
      <c r="J4" s="110" t="inlineStr">
        <is>
          <t>Resources</t>
        </is>
      </c>
      <c r="K4" s="111" t="inlineStr">
        <is>
          <t>W01
06/01</t>
        </is>
      </c>
      <c r="L4" s="111" t="inlineStr">
        <is>
          <t>W02
13/01</t>
        </is>
      </c>
      <c r="M4" s="111" t="inlineStr">
        <is>
          <t>W03
20/01</t>
        </is>
      </c>
      <c r="N4" s="111" t="inlineStr">
        <is>
          <t>W04
27/01</t>
        </is>
      </c>
      <c r="O4" s="111" t="inlineStr">
        <is>
          <t>W05
03/02</t>
        </is>
      </c>
      <c r="P4" s="111" t="inlineStr">
        <is>
          <t>W06
10/02</t>
        </is>
      </c>
      <c r="Q4" s="111" t="inlineStr">
        <is>
          <t>W07
17/02</t>
        </is>
      </c>
      <c r="R4" s="111" t="inlineStr">
        <is>
          <t>W08
24/02</t>
        </is>
      </c>
      <c r="S4" s="111" t="inlineStr">
        <is>
          <t>W09
03/03</t>
        </is>
      </c>
      <c r="T4" s="111" t="inlineStr">
        <is>
          <t>W10
10/03</t>
        </is>
      </c>
      <c r="U4" s="111" t="inlineStr">
        <is>
          <t>W11
17/03</t>
        </is>
      </c>
      <c r="V4" s="111" t="inlineStr">
        <is>
          <t>W12
24/03</t>
        </is>
      </c>
      <c r="W4" s="111" t="inlineStr">
        <is>
          <t>W13
31/03</t>
        </is>
      </c>
      <c r="X4" s="111" t="inlineStr">
        <is>
          <t>W14
07/04</t>
        </is>
      </c>
      <c r="Y4" s="111" t="inlineStr">
        <is>
          <t>W15
14/04</t>
        </is>
      </c>
      <c r="Z4" s="111" t="inlineStr">
        <is>
          <t>W16
21/04</t>
        </is>
      </c>
      <c r="AA4" s="111" t="inlineStr">
        <is>
          <t>W17
28/04</t>
        </is>
      </c>
      <c r="AB4" s="111" t="inlineStr">
        <is>
          <t>W18
05/05</t>
        </is>
      </c>
      <c r="AC4" s="111" t="inlineStr">
        <is>
          <t>W19
12/05</t>
        </is>
      </c>
      <c r="AD4" s="111" t="inlineStr">
        <is>
          <t>W20
19/05</t>
        </is>
      </c>
      <c r="AE4" s="111" t="inlineStr">
        <is>
          <t>W21
26/05</t>
        </is>
      </c>
      <c r="AF4" s="111" t="inlineStr">
        <is>
          <t>W22
02/06</t>
        </is>
      </c>
      <c r="AG4" s="111" t="inlineStr">
        <is>
          <t>W23
09/06</t>
        </is>
      </c>
      <c r="AH4" s="111" t="inlineStr">
        <is>
          <t>W24
16/06</t>
        </is>
      </c>
      <c r="AI4" s="111" t="inlineStr">
        <is>
          <t>W25
23/06</t>
        </is>
      </c>
      <c r="AJ4" s="111" t="inlineStr">
        <is>
          <t>W26
30/06</t>
        </is>
      </c>
      <c r="AK4" s="111" t="inlineStr">
        <is>
          <t>W27
07/07</t>
        </is>
      </c>
      <c r="AL4" s="111" t="inlineStr">
        <is>
          <t>W28
14/07</t>
        </is>
      </c>
      <c r="AM4" s="111" t="inlineStr">
        <is>
          <t>W29
21/07</t>
        </is>
      </c>
      <c r="AN4" s="111" t="inlineStr">
        <is>
          <t>W30
28/07</t>
        </is>
      </c>
      <c r="AO4" s="111" t="inlineStr">
        <is>
          <t>W31
04/08</t>
        </is>
      </c>
      <c r="AP4" s="111" t="inlineStr">
        <is>
          <t>W32
11/08</t>
        </is>
      </c>
      <c r="AQ4" s="111" t="inlineStr">
        <is>
          <t>W33
18/08</t>
        </is>
      </c>
      <c r="AR4" s="111" t="inlineStr">
        <is>
          <t>W34
25/08</t>
        </is>
      </c>
      <c r="AS4" s="111" t="inlineStr">
        <is>
          <t>W35
01/09</t>
        </is>
      </c>
      <c r="AT4" s="111" t="inlineStr">
        <is>
          <t>W36
08/09</t>
        </is>
      </c>
      <c r="AU4" s="111" t="inlineStr">
        <is>
          <t>W37
15/09</t>
        </is>
      </c>
      <c r="AV4" s="111" t="inlineStr">
        <is>
          <t>W38
22/09</t>
        </is>
      </c>
      <c r="AW4" s="111" t="inlineStr">
        <is>
          <t>W39
29/09</t>
        </is>
      </c>
      <c r="AX4" s="111" t="inlineStr">
        <is>
          <t>W40
06/10</t>
        </is>
      </c>
      <c r="AY4" s="111" t="inlineStr">
        <is>
          <t>W41
13/10</t>
        </is>
      </c>
      <c r="AZ4" s="111" t="inlineStr">
        <is>
          <t>W42
20/10</t>
        </is>
      </c>
      <c r="BA4" s="111" t="inlineStr">
        <is>
          <t>W43
27/10</t>
        </is>
      </c>
      <c r="BB4" s="111" t="inlineStr">
        <is>
          <t>W44
03/11</t>
        </is>
      </c>
      <c r="BC4" s="111" t="inlineStr">
        <is>
          <t>W45
10/11</t>
        </is>
      </c>
      <c r="BD4" s="111" t="inlineStr">
        <is>
          <t>W46
17/11</t>
        </is>
      </c>
      <c r="BE4" s="111" t="inlineStr">
        <is>
          <t>W47
24/11</t>
        </is>
      </c>
      <c r="BF4" s="111" t="inlineStr">
        <is>
          <t>W48
01/12</t>
        </is>
      </c>
      <c r="BG4" s="111" t="inlineStr">
        <is>
          <t>W49
08/12</t>
        </is>
      </c>
      <c r="BH4" s="111" t="inlineStr">
        <is>
          <t>W50
15/12</t>
        </is>
      </c>
      <c r="BI4" s="111" t="inlineStr">
        <is>
          <t>W51
22/12</t>
        </is>
      </c>
      <c r="BJ4" s="111" t="inlineStr">
        <is>
          <t>W52
29/12</t>
        </is>
      </c>
    </row>
    <row r="5" ht="18" customHeight="1">
      <c r="A5" s="112" t="n">
        <v>1</v>
      </c>
      <c r="B5" s="113" t="inlineStr">
        <is>
          <t>1</t>
        </is>
      </c>
      <c r="C5" s="113" t="inlineStr">
        <is>
          <t>Project Kickoff</t>
        </is>
      </c>
      <c r="D5" s="114" t="inlineStr">
        <is>
          <t>Epic</t>
        </is>
      </c>
      <c r="E5" s="113" t="inlineStr">
        <is>
          <t>Completed</t>
        </is>
      </c>
      <c r="F5" s="115" t="n">
        <v>45663</v>
      </c>
      <c r="G5" s="115" t="n">
        <v>45667</v>
      </c>
      <c r="H5" s="112" t="n">
        <v>5</v>
      </c>
      <c r="I5" s="116" t="n">
        <v>1</v>
      </c>
      <c r="J5" s="113" t="inlineStr">
        <is>
          <t>R01, R05</t>
        </is>
      </c>
      <c r="K5" s="117" t="inlineStr">
        <is>
          <t>✓</t>
        </is>
      </c>
      <c r="L5" s="118" t="n"/>
      <c r="M5" s="119" t="n"/>
      <c r="N5" s="118" t="n"/>
      <c r="O5" s="119" t="n"/>
      <c r="P5" s="118" t="n"/>
      <c r="Q5" s="119" t="n"/>
      <c r="R5" s="118" t="n"/>
      <c r="S5" s="119" t="n"/>
      <c r="T5" s="118" t="n"/>
      <c r="U5" s="119" t="n"/>
      <c r="V5" s="118" t="n"/>
      <c r="W5" s="119" t="n"/>
      <c r="X5" s="118" t="n"/>
      <c r="Y5" s="119" t="n"/>
      <c r="Z5" s="118" t="n"/>
      <c r="AA5" s="119" t="n"/>
      <c r="AB5" s="118" t="n"/>
      <c r="AC5" s="119" t="n"/>
      <c r="AD5" s="118" t="n"/>
      <c r="AE5" s="119" t="n"/>
      <c r="AF5" s="118" t="n"/>
      <c r="AG5" s="119" t="n"/>
      <c r="AH5" s="118" t="n"/>
      <c r="AI5" s="119" t="n"/>
      <c r="AJ5" s="118" t="n"/>
      <c r="AK5" s="119" t="n"/>
      <c r="AL5" s="118" t="n"/>
      <c r="AM5" s="119" t="n"/>
      <c r="AN5" s="118" t="n"/>
      <c r="AO5" s="119" t="n"/>
      <c r="AP5" s="118" t="n"/>
      <c r="AQ5" s="119" t="n"/>
      <c r="AR5" s="118" t="n"/>
      <c r="AS5" s="119" t="n"/>
      <c r="AT5" s="118" t="n"/>
      <c r="AU5" s="119" t="n"/>
      <c r="AV5" s="118" t="n"/>
      <c r="AW5" s="119" t="n"/>
      <c r="AX5" s="118" t="n"/>
      <c r="AY5" s="119" t="n"/>
      <c r="AZ5" s="118" t="n"/>
      <c r="BA5" s="119" t="n"/>
      <c r="BB5" s="118" t="n"/>
      <c r="BC5" s="119" t="n"/>
      <c r="BD5" s="118" t="n"/>
      <c r="BE5" s="119" t="n"/>
      <c r="BF5" s="118" t="n"/>
      <c r="BG5" s="119" t="n"/>
      <c r="BH5" s="118" t="n"/>
      <c r="BI5" s="119" t="n"/>
      <c r="BJ5" s="118" t="n"/>
    </row>
    <row r="6" ht="18" customHeight="1">
      <c r="A6" s="120" t="n">
        <v>2</v>
      </c>
      <c r="B6" s="121" t="inlineStr">
        <is>
          <t>1.1</t>
        </is>
      </c>
      <c r="C6" s="121" t="inlineStr">
        <is>
          <t xml:space="preserve">  Requirements Gathering</t>
        </is>
      </c>
      <c r="D6" s="121" t="inlineStr">
        <is>
          <t>Feature</t>
        </is>
      </c>
      <c r="E6" s="121" t="inlineStr">
        <is>
          <t>Completed</t>
        </is>
      </c>
      <c r="F6" s="122" t="n">
        <v>45663</v>
      </c>
      <c r="G6" s="122" t="n">
        <v>45676</v>
      </c>
      <c r="H6" s="120" t="n">
        <v>14</v>
      </c>
      <c r="I6" s="123" t="n">
        <v>1</v>
      </c>
      <c r="J6" s="121" t="inlineStr">
        <is>
          <t>R01, R05</t>
        </is>
      </c>
      <c r="K6" s="124" t="inlineStr">
        <is>
          <t>✓</t>
        </is>
      </c>
      <c r="L6" s="124" t="inlineStr">
        <is>
          <t>✓</t>
        </is>
      </c>
      <c r="M6" s="119" t="n"/>
      <c r="N6" s="118" t="n"/>
      <c r="O6" s="119" t="n"/>
      <c r="P6" s="118" t="n"/>
      <c r="Q6" s="119" t="n"/>
      <c r="R6" s="118" t="n"/>
      <c r="S6" s="119" t="n"/>
      <c r="T6" s="118" t="n"/>
      <c r="U6" s="119" t="n"/>
      <c r="V6" s="118" t="n"/>
      <c r="W6" s="119" t="n"/>
      <c r="X6" s="118" t="n"/>
      <c r="Y6" s="119" t="n"/>
      <c r="Z6" s="118" t="n"/>
      <c r="AA6" s="119" t="n"/>
      <c r="AB6" s="118" t="n"/>
      <c r="AC6" s="119" t="n"/>
      <c r="AD6" s="118" t="n"/>
      <c r="AE6" s="119" t="n"/>
      <c r="AF6" s="118" t="n"/>
      <c r="AG6" s="119" t="n"/>
      <c r="AH6" s="118" t="n"/>
      <c r="AI6" s="119" t="n"/>
      <c r="AJ6" s="118" t="n"/>
      <c r="AK6" s="119" t="n"/>
      <c r="AL6" s="118" t="n"/>
      <c r="AM6" s="119" t="n"/>
      <c r="AN6" s="118" t="n"/>
      <c r="AO6" s="119" t="n"/>
      <c r="AP6" s="118" t="n"/>
      <c r="AQ6" s="119" t="n"/>
      <c r="AR6" s="118" t="n"/>
      <c r="AS6" s="119" t="n"/>
      <c r="AT6" s="118" t="n"/>
      <c r="AU6" s="119" t="n"/>
      <c r="AV6" s="118" t="n"/>
      <c r="AW6" s="119" t="n"/>
      <c r="AX6" s="118" t="n"/>
      <c r="AY6" s="119" t="n"/>
      <c r="AZ6" s="118" t="n"/>
      <c r="BA6" s="119" t="n"/>
      <c r="BB6" s="118" t="n"/>
      <c r="BC6" s="119" t="n"/>
      <c r="BD6" s="118" t="n"/>
      <c r="BE6" s="119" t="n"/>
      <c r="BF6" s="118" t="n"/>
      <c r="BG6" s="119" t="n"/>
      <c r="BH6" s="118" t="n"/>
      <c r="BI6" s="119" t="n"/>
      <c r="BJ6" s="118" t="n"/>
    </row>
    <row r="7" ht="18" customHeight="1">
      <c r="A7" s="125" t="n">
        <v>3</v>
      </c>
      <c r="B7" s="126" t="inlineStr">
        <is>
          <t>1.1.1</t>
        </is>
      </c>
      <c r="C7" s="126" t="inlineStr">
        <is>
          <t xml:space="preserve">    Stakeholder Interviews</t>
        </is>
      </c>
      <c r="D7" s="126" t="inlineStr">
        <is>
          <t>Task</t>
        </is>
      </c>
      <c r="E7" s="126" t="inlineStr">
        <is>
          <t>Completed</t>
        </is>
      </c>
      <c r="F7" s="127" t="n">
        <v>45663</v>
      </c>
      <c r="G7" s="127" t="n">
        <v>45669</v>
      </c>
      <c r="H7" s="125" t="n">
        <v>7</v>
      </c>
      <c r="I7" s="128" t="n">
        <v>1</v>
      </c>
      <c r="J7" s="126" t="inlineStr">
        <is>
          <t>R01</t>
        </is>
      </c>
      <c r="K7" s="129" t="inlineStr">
        <is>
          <t>✓</t>
        </is>
      </c>
      <c r="L7" s="118" t="n"/>
      <c r="M7" s="119" t="n"/>
      <c r="N7" s="118" t="n"/>
      <c r="O7" s="119" t="n"/>
      <c r="P7" s="118" t="n"/>
      <c r="Q7" s="119" t="n"/>
      <c r="R7" s="118" t="n"/>
      <c r="S7" s="119" t="n"/>
      <c r="T7" s="118" t="n"/>
      <c r="U7" s="119" t="n"/>
      <c r="V7" s="118" t="n"/>
      <c r="W7" s="119" t="n"/>
      <c r="X7" s="118" t="n"/>
      <c r="Y7" s="119" t="n"/>
      <c r="Z7" s="118" t="n"/>
      <c r="AA7" s="119" t="n"/>
      <c r="AB7" s="118" t="n"/>
      <c r="AC7" s="119" t="n"/>
      <c r="AD7" s="118" t="n"/>
      <c r="AE7" s="119" t="n"/>
      <c r="AF7" s="118" t="n"/>
      <c r="AG7" s="119" t="n"/>
      <c r="AH7" s="118" t="n"/>
      <c r="AI7" s="119" t="n"/>
      <c r="AJ7" s="118" t="n"/>
      <c r="AK7" s="119" t="n"/>
      <c r="AL7" s="118" t="n"/>
      <c r="AM7" s="119" t="n"/>
      <c r="AN7" s="118" t="n"/>
      <c r="AO7" s="119" t="n"/>
      <c r="AP7" s="118" t="n"/>
      <c r="AQ7" s="119" t="n"/>
      <c r="AR7" s="118" t="n"/>
      <c r="AS7" s="119" t="n"/>
      <c r="AT7" s="118" t="n"/>
      <c r="AU7" s="119" t="n"/>
      <c r="AV7" s="118" t="n"/>
      <c r="AW7" s="119" t="n"/>
      <c r="AX7" s="118" t="n"/>
      <c r="AY7" s="119" t="n"/>
      <c r="AZ7" s="118" t="n"/>
      <c r="BA7" s="119" t="n"/>
      <c r="BB7" s="118" t="n"/>
      <c r="BC7" s="119" t="n"/>
      <c r="BD7" s="118" t="n"/>
      <c r="BE7" s="119" t="n"/>
      <c r="BF7" s="118" t="n"/>
      <c r="BG7" s="119" t="n"/>
      <c r="BH7" s="118" t="n"/>
      <c r="BI7" s="119" t="n"/>
      <c r="BJ7" s="118" t="n"/>
    </row>
    <row r="8" ht="18" customHeight="1">
      <c r="A8" s="125" t="n">
        <v>4</v>
      </c>
      <c r="B8" s="126" t="inlineStr">
        <is>
          <t>1.1.2</t>
        </is>
      </c>
      <c r="C8" s="126" t="inlineStr">
        <is>
          <t xml:space="preserve">    Document Requirements</t>
        </is>
      </c>
      <c r="D8" s="126" t="inlineStr">
        <is>
          <t>Task</t>
        </is>
      </c>
      <c r="E8" s="126" t="inlineStr">
        <is>
          <t>Completed</t>
        </is>
      </c>
      <c r="F8" s="127" t="n">
        <v>45670</v>
      </c>
      <c r="G8" s="127" t="n">
        <v>45676</v>
      </c>
      <c r="H8" s="125" t="n">
        <v>7</v>
      </c>
      <c r="I8" s="128" t="n">
        <v>1</v>
      </c>
      <c r="J8" s="126" t="inlineStr">
        <is>
          <t>R05</t>
        </is>
      </c>
      <c r="K8" s="119" t="n"/>
      <c r="L8" s="129" t="inlineStr">
        <is>
          <t>✓</t>
        </is>
      </c>
      <c r="M8" s="119" t="n"/>
      <c r="N8" s="118" t="n"/>
      <c r="O8" s="119" t="n"/>
      <c r="P8" s="118" t="n"/>
      <c r="Q8" s="119" t="n"/>
      <c r="R8" s="118" t="n"/>
      <c r="S8" s="119" t="n"/>
      <c r="T8" s="118" t="n"/>
      <c r="U8" s="119" t="n"/>
      <c r="V8" s="118" t="n"/>
      <c r="W8" s="119" t="n"/>
      <c r="X8" s="118" t="n"/>
      <c r="Y8" s="119" t="n"/>
      <c r="Z8" s="118" t="n"/>
      <c r="AA8" s="119" t="n"/>
      <c r="AB8" s="118" t="n"/>
      <c r="AC8" s="119" t="n"/>
      <c r="AD8" s="118" t="n"/>
      <c r="AE8" s="119" t="n"/>
      <c r="AF8" s="118" t="n"/>
      <c r="AG8" s="119" t="n"/>
      <c r="AH8" s="118" t="n"/>
      <c r="AI8" s="119" t="n"/>
      <c r="AJ8" s="118" t="n"/>
      <c r="AK8" s="119" t="n"/>
      <c r="AL8" s="118" t="n"/>
      <c r="AM8" s="119" t="n"/>
      <c r="AN8" s="118" t="n"/>
      <c r="AO8" s="119" t="n"/>
      <c r="AP8" s="118" t="n"/>
      <c r="AQ8" s="119" t="n"/>
      <c r="AR8" s="118" t="n"/>
      <c r="AS8" s="119" t="n"/>
      <c r="AT8" s="118" t="n"/>
      <c r="AU8" s="119" t="n"/>
      <c r="AV8" s="118" t="n"/>
      <c r="AW8" s="119" t="n"/>
      <c r="AX8" s="118" t="n"/>
      <c r="AY8" s="119" t="n"/>
      <c r="AZ8" s="118" t="n"/>
      <c r="BA8" s="119" t="n"/>
      <c r="BB8" s="118" t="n"/>
      <c r="BC8" s="119" t="n"/>
      <c r="BD8" s="118" t="n"/>
      <c r="BE8" s="119" t="n"/>
      <c r="BF8" s="118" t="n"/>
      <c r="BG8" s="119" t="n"/>
      <c r="BH8" s="118" t="n"/>
      <c r="BI8" s="119" t="n"/>
      <c r="BJ8" s="118" t="n"/>
    </row>
    <row r="9" ht="18" customHeight="1">
      <c r="A9" s="130" t="n">
        <v>5</v>
      </c>
      <c r="B9" s="131" t="inlineStr">
        <is>
          <t>1.2</t>
        </is>
      </c>
      <c r="C9" s="131" t="inlineStr">
        <is>
          <t xml:space="preserve">  ◆ Requirements Sign-off</t>
        </is>
      </c>
      <c r="D9" s="132" t="inlineStr">
        <is>
          <t>Milestone</t>
        </is>
      </c>
      <c r="E9" s="131" t="inlineStr">
        <is>
          <t>Completed</t>
        </is>
      </c>
      <c r="F9" s="133" t="n">
        <v>45677</v>
      </c>
      <c r="G9" s="133" t="n">
        <v>45677</v>
      </c>
      <c r="H9" s="130" t="n">
        <v>1</v>
      </c>
      <c r="I9" s="134" t="n">
        <v>1</v>
      </c>
      <c r="J9" s="131" t="inlineStr">
        <is>
          <t>R01</t>
        </is>
      </c>
      <c r="K9" s="119" t="n"/>
      <c r="L9" s="118" t="n"/>
      <c r="M9" s="135" t="inlineStr">
        <is>
          <t>◆</t>
        </is>
      </c>
      <c r="N9" s="118" t="n"/>
      <c r="O9" s="119" t="n"/>
      <c r="P9" s="118" t="n"/>
      <c r="Q9" s="119" t="n"/>
      <c r="R9" s="118" t="n"/>
      <c r="S9" s="119" t="n"/>
      <c r="T9" s="118" t="n"/>
      <c r="U9" s="119" t="n"/>
      <c r="V9" s="118" t="n"/>
      <c r="W9" s="119" t="n"/>
      <c r="X9" s="118" t="n"/>
      <c r="Y9" s="119" t="n"/>
      <c r="Z9" s="118" t="n"/>
      <c r="AA9" s="119" t="n"/>
      <c r="AB9" s="118" t="n"/>
      <c r="AC9" s="119" t="n"/>
      <c r="AD9" s="118" t="n"/>
      <c r="AE9" s="119" t="n"/>
      <c r="AF9" s="118" t="n"/>
      <c r="AG9" s="119" t="n"/>
      <c r="AH9" s="118" t="n"/>
      <c r="AI9" s="119" t="n"/>
      <c r="AJ9" s="118" t="n"/>
      <c r="AK9" s="119" t="n"/>
      <c r="AL9" s="118" t="n"/>
      <c r="AM9" s="119" t="n"/>
      <c r="AN9" s="118" t="n"/>
      <c r="AO9" s="119" t="n"/>
      <c r="AP9" s="118" t="n"/>
      <c r="AQ9" s="119" t="n"/>
      <c r="AR9" s="118" t="n"/>
      <c r="AS9" s="119" t="n"/>
      <c r="AT9" s="118" t="n"/>
      <c r="AU9" s="119" t="n"/>
      <c r="AV9" s="118" t="n"/>
      <c r="AW9" s="119" t="n"/>
      <c r="AX9" s="118" t="n"/>
      <c r="AY9" s="119" t="n"/>
      <c r="AZ9" s="118" t="n"/>
      <c r="BA9" s="119" t="n"/>
      <c r="BB9" s="118" t="n"/>
      <c r="BC9" s="119" t="n"/>
      <c r="BD9" s="118" t="n"/>
      <c r="BE9" s="119" t="n"/>
      <c r="BF9" s="118" t="n"/>
      <c r="BG9" s="119" t="n"/>
      <c r="BH9" s="118" t="n"/>
      <c r="BI9" s="119" t="n"/>
      <c r="BJ9" s="118" t="n"/>
    </row>
    <row r="10" ht="18" customHeight="1">
      <c r="A10" s="112" t="n">
        <v>6</v>
      </c>
      <c r="B10" s="113" t="inlineStr">
        <is>
          <t>2</t>
        </is>
      </c>
      <c r="C10" s="113" t="inlineStr">
        <is>
          <t>Design Phase</t>
        </is>
      </c>
      <c r="D10" s="114" t="inlineStr">
        <is>
          <t>Epic</t>
        </is>
      </c>
      <c r="E10" s="113" t="inlineStr">
        <is>
          <t>Completed</t>
        </is>
      </c>
      <c r="F10" s="115" t="n">
        <v>45677</v>
      </c>
      <c r="G10" s="115" t="n">
        <v>45704</v>
      </c>
      <c r="H10" s="112" t="n">
        <v>28</v>
      </c>
      <c r="I10" s="116" t="n">
        <v>1</v>
      </c>
      <c r="J10" s="113" t="inlineStr">
        <is>
          <t>R03, R05</t>
        </is>
      </c>
      <c r="K10" s="119" t="n"/>
      <c r="L10" s="118" t="n"/>
      <c r="M10" s="117" t="inlineStr">
        <is>
          <t>✓</t>
        </is>
      </c>
      <c r="N10" s="117" t="inlineStr">
        <is>
          <t>✓</t>
        </is>
      </c>
      <c r="O10" s="117" t="inlineStr">
        <is>
          <t>✓</t>
        </is>
      </c>
      <c r="P10" s="117" t="inlineStr">
        <is>
          <t>✓</t>
        </is>
      </c>
      <c r="Q10" s="119" t="n"/>
      <c r="R10" s="118" t="n"/>
      <c r="S10" s="119" t="n"/>
      <c r="T10" s="118" t="n"/>
      <c r="U10" s="119" t="n"/>
      <c r="V10" s="118" t="n"/>
      <c r="W10" s="119" t="n"/>
      <c r="X10" s="118" t="n"/>
      <c r="Y10" s="119" t="n"/>
      <c r="Z10" s="118" t="n"/>
      <c r="AA10" s="119" t="n"/>
      <c r="AB10" s="118" t="n"/>
      <c r="AC10" s="119" t="n"/>
      <c r="AD10" s="118" t="n"/>
      <c r="AE10" s="119" t="n"/>
      <c r="AF10" s="118" t="n"/>
      <c r="AG10" s="119" t="n"/>
      <c r="AH10" s="118" t="n"/>
      <c r="AI10" s="119" t="n"/>
      <c r="AJ10" s="118" t="n"/>
      <c r="AK10" s="119" t="n"/>
      <c r="AL10" s="118" t="n"/>
      <c r="AM10" s="119" t="n"/>
      <c r="AN10" s="118" t="n"/>
      <c r="AO10" s="119" t="n"/>
      <c r="AP10" s="118" t="n"/>
      <c r="AQ10" s="119" t="n"/>
      <c r="AR10" s="118" t="n"/>
      <c r="AS10" s="119" t="n"/>
      <c r="AT10" s="118" t="n"/>
      <c r="AU10" s="119" t="n"/>
      <c r="AV10" s="118" t="n"/>
      <c r="AW10" s="119" t="n"/>
      <c r="AX10" s="118" t="n"/>
      <c r="AY10" s="119" t="n"/>
      <c r="AZ10" s="118" t="n"/>
      <c r="BA10" s="119" t="n"/>
      <c r="BB10" s="118" t="n"/>
      <c r="BC10" s="119" t="n"/>
      <c r="BD10" s="118" t="n"/>
      <c r="BE10" s="119" t="n"/>
      <c r="BF10" s="118" t="n"/>
      <c r="BG10" s="119" t="n"/>
      <c r="BH10" s="118" t="n"/>
      <c r="BI10" s="119" t="n"/>
      <c r="BJ10" s="118" t="n"/>
    </row>
    <row r="11" ht="18" customHeight="1">
      <c r="A11" s="120" t="n">
        <v>7</v>
      </c>
      <c r="B11" s="121" t="inlineStr">
        <is>
          <t>2.1</t>
        </is>
      </c>
      <c r="C11" s="121" t="inlineStr">
        <is>
          <t xml:space="preserve">  UI/UX Design</t>
        </is>
      </c>
      <c r="D11" s="121" t="inlineStr">
        <is>
          <t>Feature</t>
        </is>
      </c>
      <c r="E11" s="121" t="inlineStr">
        <is>
          <t>Completed</t>
        </is>
      </c>
      <c r="F11" s="122" t="n">
        <v>45677</v>
      </c>
      <c r="G11" s="122" t="n">
        <v>45697</v>
      </c>
      <c r="H11" s="120" t="n">
        <v>21</v>
      </c>
      <c r="I11" s="123" t="n">
        <v>1</v>
      </c>
      <c r="J11" s="121" t="inlineStr">
        <is>
          <t>R03</t>
        </is>
      </c>
      <c r="K11" s="119" t="n"/>
      <c r="L11" s="118" t="n"/>
      <c r="M11" s="124" t="inlineStr">
        <is>
          <t>✓</t>
        </is>
      </c>
      <c r="N11" s="124" t="inlineStr">
        <is>
          <t>✓</t>
        </is>
      </c>
      <c r="O11" s="124" t="inlineStr">
        <is>
          <t>✓</t>
        </is>
      </c>
      <c r="P11" s="118" t="n"/>
      <c r="Q11" s="119" t="n"/>
      <c r="R11" s="118" t="n"/>
      <c r="S11" s="119" t="n"/>
      <c r="T11" s="118" t="n"/>
      <c r="U11" s="119" t="n"/>
      <c r="V11" s="118" t="n"/>
      <c r="W11" s="119" t="n"/>
      <c r="X11" s="118" t="n"/>
      <c r="Y11" s="119" t="n"/>
      <c r="Z11" s="118" t="n"/>
      <c r="AA11" s="119" t="n"/>
      <c r="AB11" s="118" t="n"/>
      <c r="AC11" s="119" t="n"/>
      <c r="AD11" s="118" t="n"/>
      <c r="AE11" s="119" t="n"/>
      <c r="AF11" s="118" t="n"/>
      <c r="AG11" s="119" t="n"/>
      <c r="AH11" s="118" t="n"/>
      <c r="AI11" s="119" t="n"/>
      <c r="AJ11" s="118" t="n"/>
      <c r="AK11" s="119" t="n"/>
      <c r="AL11" s="118" t="n"/>
      <c r="AM11" s="119" t="n"/>
      <c r="AN11" s="118" t="n"/>
      <c r="AO11" s="119" t="n"/>
      <c r="AP11" s="118" t="n"/>
      <c r="AQ11" s="119" t="n"/>
      <c r="AR11" s="118" t="n"/>
      <c r="AS11" s="119" t="n"/>
      <c r="AT11" s="118" t="n"/>
      <c r="AU11" s="119" t="n"/>
      <c r="AV11" s="118" t="n"/>
      <c r="AW11" s="119" t="n"/>
      <c r="AX11" s="118" t="n"/>
      <c r="AY11" s="119" t="n"/>
      <c r="AZ11" s="118" t="n"/>
      <c r="BA11" s="119" t="n"/>
      <c r="BB11" s="118" t="n"/>
      <c r="BC11" s="119" t="n"/>
      <c r="BD11" s="118" t="n"/>
      <c r="BE11" s="119" t="n"/>
      <c r="BF11" s="118" t="n"/>
      <c r="BG11" s="119" t="n"/>
      <c r="BH11" s="118" t="n"/>
      <c r="BI11" s="119" t="n"/>
      <c r="BJ11" s="118" t="n"/>
    </row>
    <row r="12" ht="18" customHeight="1">
      <c r="A12" s="125" t="n">
        <v>8</v>
      </c>
      <c r="B12" s="126" t="inlineStr">
        <is>
          <t>2.1.1</t>
        </is>
      </c>
      <c r="C12" s="126" t="inlineStr">
        <is>
          <t xml:space="preserve">    Wireframes</t>
        </is>
      </c>
      <c r="D12" s="126" t="inlineStr">
        <is>
          <t>Task</t>
        </is>
      </c>
      <c r="E12" s="126" t="inlineStr">
        <is>
          <t>Completed</t>
        </is>
      </c>
      <c r="F12" s="127" t="n">
        <v>45677</v>
      </c>
      <c r="G12" s="127" t="n">
        <v>45686</v>
      </c>
      <c r="H12" s="125" t="n">
        <v>10</v>
      </c>
      <c r="I12" s="128" t="n">
        <v>1</v>
      </c>
      <c r="J12" s="126" t="inlineStr">
        <is>
          <t>R03</t>
        </is>
      </c>
      <c r="K12" s="119" t="n"/>
      <c r="L12" s="118" t="n"/>
      <c r="M12" s="129" t="inlineStr">
        <is>
          <t>✓</t>
        </is>
      </c>
      <c r="N12" s="129" t="inlineStr">
        <is>
          <t>✓</t>
        </is>
      </c>
      <c r="O12" s="119" t="n"/>
      <c r="P12" s="118" t="n"/>
      <c r="Q12" s="119" t="n"/>
      <c r="R12" s="118" t="n"/>
      <c r="S12" s="119" t="n"/>
      <c r="T12" s="118" t="n"/>
      <c r="U12" s="119" t="n"/>
      <c r="V12" s="118" t="n"/>
      <c r="W12" s="119" t="n"/>
      <c r="X12" s="118" t="n"/>
      <c r="Y12" s="119" t="n"/>
      <c r="Z12" s="118" t="n"/>
      <c r="AA12" s="119" t="n"/>
      <c r="AB12" s="118" t="n"/>
      <c r="AC12" s="119" t="n"/>
      <c r="AD12" s="118" t="n"/>
      <c r="AE12" s="119" t="n"/>
      <c r="AF12" s="118" t="n"/>
      <c r="AG12" s="119" t="n"/>
      <c r="AH12" s="118" t="n"/>
      <c r="AI12" s="119" t="n"/>
      <c r="AJ12" s="118" t="n"/>
      <c r="AK12" s="119" t="n"/>
      <c r="AL12" s="118" t="n"/>
      <c r="AM12" s="119" t="n"/>
      <c r="AN12" s="118" t="n"/>
      <c r="AO12" s="119" t="n"/>
      <c r="AP12" s="118" t="n"/>
      <c r="AQ12" s="119" t="n"/>
      <c r="AR12" s="118" t="n"/>
      <c r="AS12" s="119" t="n"/>
      <c r="AT12" s="118" t="n"/>
      <c r="AU12" s="119" t="n"/>
      <c r="AV12" s="118" t="n"/>
      <c r="AW12" s="119" t="n"/>
      <c r="AX12" s="118" t="n"/>
      <c r="AY12" s="119" t="n"/>
      <c r="AZ12" s="118" t="n"/>
      <c r="BA12" s="119" t="n"/>
      <c r="BB12" s="118" t="n"/>
      <c r="BC12" s="119" t="n"/>
      <c r="BD12" s="118" t="n"/>
      <c r="BE12" s="119" t="n"/>
      <c r="BF12" s="118" t="n"/>
      <c r="BG12" s="119" t="n"/>
      <c r="BH12" s="118" t="n"/>
      <c r="BI12" s="119" t="n"/>
      <c r="BJ12" s="118" t="n"/>
    </row>
    <row r="13" ht="18" customHeight="1">
      <c r="A13" s="125" t="n">
        <v>9</v>
      </c>
      <c r="B13" s="126" t="inlineStr">
        <is>
          <t>2.1.2</t>
        </is>
      </c>
      <c r="C13" s="126" t="inlineStr">
        <is>
          <t xml:space="preserve">    Prototypes</t>
        </is>
      </c>
      <c r="D13" s="126" t="inlineStr">
        <is>
          <t>Task</t>
        </is>
      </c>
      <c r="E13" s="126" t="inlineStr">
        <is>
          <t>Completed</t>
        </is>
      </c>
      <c r="F13" s="127" t="n">
        <v>45687</v>
      </c>
      <c r="G13" s="127" t="n">
        <v>45697</v>
      </c>
      <c r="H13" s="125" t="n">
        <v>11</v>
      </c>
      <c r="I13" s="128" t="n">
        <v>1</v>
      </c>
      <c r="J13" s="126" t="inlineStr">
        <is>
          <t>R03</t>
        </is>
      </c>
      <c r="K13" s="119" t="n"/>
      <c r="L13" s="118" t="n"/>
      <c r="M13" s="119" t="n"/>
      <c r="N13" s="129" t="inlineStr">
        <is>
          <t>✓</t>
        </is>
      </c>
      <c r="O13" s="129" t="inlineStr">
        <is>
          <t>✓</t>
        </is>
      </c>
      <c r="P13" s="118" t="n"/>
      <c r="Q13" s="119" t="n"/>
      <c r="R13" s="118" t="n"/>
      <c r="S13" s="119" t="n"/>
      <c r="T13" s="118" t="n"/>
      <c r="U13" s="119" t="n"/>
      <c r="V13" s="118" t="n"/>
      <c r="W13" s="119" t="n"/>
      <c r="X13" s="118" t="n"/>
      <c r="Y13" s="119" t="n"/>
      <c r="Z13" s="118" t="n"/>
      <c r="AA13" s="119" t="n"/>
      <c r="AB13" s="118" t="n"/>
      <c r="AC13" s="119" t="n"/>
      <c r="AD13" s="118" t="n"/>
      <c r="AE13" s="119" t="n"/>
      <c r="AF13" s="118" t="n"/>
      <c r="AG13" s="119" t="n"/>
      <c r="AH13" s="118" t="n"/>
      <c r="AI13" s="119" t="n"/>
      <c r="AJ13" s="118" t="n"/>
      <c r="AK13" s="119" t="n"/>
      <c r="AL13" s="118" t="n"/>
      <c r="AM13" s="119" t="n"/>
      <c r="AN13" s="118" t="n"/>
      <c r="AO13" s="119" t="n"/>
      <c r="AP13" s="118" t="n"/>
      <c r="AQ13" s="119" t="n"/>
      <c r="AR13" s="118" t="n"/>
      <c r="AS13" s="119" t="n"/>
      <c r="AT13" s="118" t="n"/>
      <c r="AU13" s="119" t="n"/>
      <c r="AV13" s="118" t="n"/>
      <c r="AW13" s="119" t="n"/>
      <c r="AX13" s="118" t="n"/>
      <c r="AY13" s="119" t="n"/>
      <c r="AZ13" s="118" t="n"/>
      <c r="BA13" s="119" t="n"/>
      <c r="BB13" s="118" t="n"/>
      <c r="BC13" s="119" t="n"/>
      <c r="BD13" s="118" t="n"/>
      <c r="BE13" s="119" t="n"/>
      <c r="BF13" s="118" t="n"/>
      <c r="BG13" s="119" t="n"/>
      <c r="BH13" s="118" t="n"/>
      <c r="BI13" s="119" t="n"/>
      <c r="BJ13" s="118" t="n"/>
    </row>
    <row r="14" ht="18" customHeight="1">
      <c r="A14" s="120" t="n">
        <v>10</v>
      </c>
      <c r="B14" s="121" t="inlineStr">
        <is>
          <t>2.2</t>
        </is>
      </c>
      <c r="C14" s="121" t="inlineStr">
        <is>
          <t xml:space="preserve">  Architecture Design</t>
        </is>
      </c>
      <c r="D14" s="121" t="inlineStr">
        <is>
          <t>Feature</t>
        </is>
      </c>
      <c r="E14" s="121" t="inlineStr">
        <is>
          <t>Completed</t>
        </is>
      </c>
      <c r="F14" s="122" t="n">
        <v>45677</v>
      </c>
      <c r="G14" s="122" t="n">
        <v>45690</v>
      </c>
      <c r="H14" s="120" t="n">
        <v>14</v>
      </c>
      <c r="I14" s="123" t="n">
        <v>1</v>
      </c>
      <c r="J14" s="121" t="inlineStr">
        <is>
          <t>R02, R06</t>
        </is>
      </c>
      <c r="K14" s="119" t="n"/>
      <c r="L14" s="118" t="n"/>
      <c r="M14" s="124" t="inlineStr">
        <is>
          <t>✓</t>
        </is>
      </c>
      <c r="N14" s="124" t="inlineStr">
        <is>
          <t>✓</t>
        </is>
      </c>
      <c r="O14" s="119" t="n"/>
      <c r="P14" s="118" t="n"/>
      <c r="Q14" s="119" t="n"/>
      <c r="R14" s="118" t="n"/>
      <c r="S14" s="119" t="n"/>
      <c r="T14" s="118" t="n"/>
      <c r="U14" s="119" t="n"/>
      <c r="V14" s="118" t="n"/>
      <c r="W14" s="119" t="n"/>
      <c r="X14" s="118" t="n"/>
      <c r="Y14" s="119" t="n"/>
      <c r="Z14" s="118" t="n"/>
      <c r="AA14" s="119" t="n"/>
      <c r="AB14" s="118" t="n"/>
      <c r="AC14" s="119" t="n"/>
      <c r="AD14" s="118" t="n"/>
      <c r="AE14" s="119" t="n"/>
      <c r="AF14" s="118" t="n"/>
      <c r="AG14" s="119" t="n"/>
      <c r="AH14" s="118" t="n"/>
      <c r="AI14" s="119" t="n"/>
      <c r="AJ14" s="118" t="n"/>
      <c r="AK14" s="119" t="n"/>
      <c r="AL14" s="118" t="n"/>
      <c r="AM14" s="119" t="n"/>
      <c r="AN14" s="118" t="n"/>
      <c r="AO14" s="119" t="n"/>
      <c r="AP14" s="118" t="n"/>
      <c r="AQ14" s="119" t="n"/>
      <c r="AR14" s="118" t="n"/>
      <c r="AS14" s="119" t="n"/>
      <c r="AT14" s="118" t="n"/>
      <c r="AU14" s="119" t="n"/>
      <c r="AV14" s="118" t="n"/>
      <c r="AW14" s="119" t="n"/>
      <c r="AX14" s="118" t="n"/>
      <c r="AY14" s="119" t="n"/>
      <c r="AZ14" s="118" t="n"/>
      <c r="BA14" s="119" t="n"/>
      <c r="BB14" s="118" t="n"/>
      <c r="BC14" s="119" t="n"/>
      <c r="BD14" s="118" t="n"/>
      <c r="BE14" s="119" t="n"/>
      <c r="BF14" s="118" t="n"/>
      <c r="BG14" s="119" t="n"/>
      <c r="BH14" s="118" t="n"/>
      <c r="BI14" s="119" t="n"/>
      <c r="BJ14" s="118" t="n"/>
    </row>
    <row r="15" ht="18" customHeight="1">
      <c r="A15" s="130" t="n">
        <v>11</v>
      </c>
      <c r="B15" s="131" t="inlineStr">
        <is>
          <t>2.3</t>
        </is>
      </c>
      <c r="C15" s="131" t="inlineStr">
        <is>
          <t xml:space="preserve">  ◆ Design Review</t>
        </is>
      </c>
      <c r="D15" s="132" t="inlineStr">
        <is>
          <t>Milestone</t>
        </is>
      </c>
      <c r="E15" s="131" t="inlineStr">
        <is>
          <t>Completed</t>
        </is>
      </c>
      <c r="F15" s="133" t="n">
        <v>45705</v>
      </c>
      <c r="G15" s="133" t="n">
        <v>45705</v>
      </c>
      <c r="H15" s="130" t="n">
        <v>1</v>
      </c>
      <c r="I15" s="134" t="n">
        <v>1</v>
      </c>
      <c r="J15" s="131" t="inlineStr">
        <is>
          <t>R01</t>
        </is>
      </c>
      <c r="K15" s="119" t="n"/>
      <c r="L15" s="118" t="n"/>
      <c r="M15" s="119" t="n"/>
      <c r="N15" s="118" t="n"/>
      <c r="O15" s="119" t="n"/>
      <c r="P15" s="118" t="n"/>
      <c r="Q15" s="135" t="inlineStr">
        <is>
          <t>◆</t>
        </is>
      </c>
      <c r="R15" s="118" t="n"/>
      <c r="S15" s="119" t="n"/>
      <c r="T15" s="118" t="n"/>
      <c r="U15" s="119" t="n"/>
      <c r="V15" s="118" t="n"/>
      <c r="W15" s="119" t="n"/>
      <c r="X15" s="118" t="n"/>
      <c r="Y15" s="119" t="n"/>
      <c r="Z15" s="118" t="n"/>
      <c r="AA15" s="119" t="n"/>
      <c r="AB15" s="118" t="n"/>
      <c r="AC15" s="119" t="n"/>
      <c r="AD15" s="118" t="n"/>
      <c r="AE15" s="119" t="n"/>
      <c r="AF15" s="118" t="n"/>
      <c r="AG15" s="119" t="n"/>
      <c r="AH15" s="118" t="n"/>
      <c r="AI15" s="119" t="n"/>
      <c r="AJ15" s="118" t="n"/>
      <c r="AK15" s="119" t="n"/>
      <c r="AL15" s="118" t="n"/>
      <c r="AM15" s="119" t="n"/>
      <c r="AN15" s="118" t="n"/>
      <c r="AO15" s="119" t="n"/>
      <c r="AP15" s="118" t="n"/>
      <c r="AQ15" s="119" t="n"/>
      <c r="AR15" s="118" t="n"/>
      <c r="AS15" s="119" t="n"/>
      <c r="AT15" s="118" t="n"/>
      <c r="AU15" s="119" t="n"/>
      <c r="AV15" s="118" t="n"/>
      <c r="AW15" s="119" t="n"/>
      <c r="AX15" s="118" t="n"/>
      <c r="AY15" s="119" t="n"/>
      <c r="AZ15" s="118" t="n"/>
      <c r="BA15" s="119" t="n"/>
      <c r="BB15" s="118" t="n"/>
      <c r="BC15" s="119" t="n"/>
      <c r="BD15" s="118" t="n"/>
      <c r="BE15" s="119" t="n"/>
      <c r="BF15" s="118" t="n"/>
      <c r="BG15" s="119" t="n"/>
      <c r="BH15" s="118" t="n"/>
      <c r="BI15" s="119" t="n"/>
      <c r="BJ15" s="118" t="n"/>
    </row>
    <row r="16" ht="18" customHeight="1">
      <c r="A16" s="112" t="n">
        <v>12</v>
      </c>
      <c r="B16" s="113" t="inlineStr">
        <is>
          <t>3</t>
        </is>
      </c>
      <c r="C16" s="113" t="inlineStr">
        <is>
          <t>Development Sprint 1</t>
        </is>
      </c>
      <c r="D16" s="114" t="inlineStr">
        <is>
          <t>Epic</t>
        </is>
      </c>
      <c r="E16" s="113" t="inlineStr">
        <is>
          <t>In Progress</t>
        </is>
      </c>
      <c r="F16" s="115" t="n">
        <v>45705</v>
      </c>
      <c r="G16" s="115" t="n">
        <v>45746</v>
      </c>
      <c r="H16" s="112" t="n">
        <v>42</v>
      </c>
      <c r="I16" s="116" t="n">
        <v>0.6</v>
      </c>
      <c r="J16" s="113" t="inlineStr">
        <is>
          <t>R02, R06</t>
        </is>
      </c>
      <c r="K16" s="119" t="n"/>
      <c r="L16" s="118" t="n"/>
      <c r="M16" s="119" t="n"/>
      <c r="N16" s="118" t="n"/>
      <c r="O16" s="119" t="n"/>
      <c r="P16" s="118" t="n"/>
      <c r="Q16" s="136" t="n"/>
      <c r="R16" s="136" t="n"/>
      <c r="S16" s="136" t="n"/>
      <c r="T16" s="136" t="n"/>
      <c r="U16" s="137" t="n"/>
      <c r="V16" s="137" t="n"/>
      <c r="W16" s="119" t="n"/>
      <c r="X16" s="118" t="n"/>
      <c r="Y16" s="119" t="n"/>
      <c r="Z16" s="118" t="n"/>
      <c r="AA16" s="119" t="n"/>
      <c r="AB16" s="118" t="n"/>
      <c r="AC16" s="119" t="n"/>
      <c r="AD16" s="118" t="n"/>
      <c r="AE16" s="119" t="n"/>
      <c r="AF16" s="118" t="n"/>
      <c r="AG16" s="119" t="n"/>
      <c r="AH16" s="118" t="n"/>
      <c r="AI16" s="119" t="n"/>
      <c r="AJ16" s="118" t="n"/>
      <c r="AK16" s="119" t="n"/>
      <c r="AL16" s="118" t="n"/>
      <c r="AM16" s="119" t="n"/>
      <c r="AN16" s="118" t="n"/>
      <c r="AO16" s="119" t="n"/>
      <c r="AP16" s="118" t="n"/>
      <c r="AQ16" s="119" t="n"/>
      <c r="AR16" s="118" t="n"/>
      <c r="AS16" s="119" t="n"/>
      <c r="AT16" s="118" t="n"/>
      <c r="AU16" s="119" t="n"/>
      <c r="AV16" s="118" t="n"/>
      <c r="AW16" s="119" t="n"/>
      <c r="AX16" s="118" t="n"/>
      <c r="AY16" s="119" t="n"/>
      <c r="AZ16" s="118" t="n"/>
      <c r="BA16" s="119" t="n"/>
      <c r="BB16" s="118" t="n"/>
      <c r="BC16" s="119" t="n"/>
      <c r="BD16" s="118" t="n"/>
      <c r="BE16" s="119" t="n"/>
      <c r="BF16" s="118" t="n"/>
      <c r="BG16" s="119" t="n"/>
      <c r="BH16" s="118" t="n"/>
      <c r="BI16" s="119" t="n"/>
      <c r="BJ16" s="118" t="n"/>
    </row>
    <row r="17" ht="18" customHeight="1">
      <c r="A17" s="120" t="n">
        <v>13</v>
      </c>
      <c r="B17" s="121" t="inlineStr">
        <is>
          <t>3.1</t>
        </is>
      </c>
      <c r="C17" s="121" t="inlineStr">
        <is>
          <t xml:space="preserve">  Backend API Development</t>
        </is>
      </c>
      <c r="D17" s="121" t="inlineStr">
        <is>
          <t>Feature</t>
        </is>
      </c>
      <c r="E17" s="121" t="inlineStr">
        <is>
          <t>In Progress</t>
        </is>
      </c>
      <c r="F17" s="122" t="n">
        <v>45705</v>
      </c>
      <c r="G17" s="122" t="n">
        <v>45732</v>
      </c>
      <c r="H17" s="120" t="n">
        <v>28</v>
      </c>
      <c r="I17" s="123" t="n">
        <v>0.7</v>
      </c>
      <c r="J17" s="121" t="inlineStr">
        <is>
          <t>R02, R06</t>
        </is>
      </c>
      <c r="K17" s="119" t="n"/>
      <c r="L17" s="118" t="n"/>
      <c r="M17" s="119" t="n"/>
      <c r="N17" s="118" t="n"/>
      <c r="O17" s="119" t="n"/>
      <c r="P17" s="118" t="n"/>
      <c r="Q17" s="138" t="n"/>
      <c r="R17" s="138" t="n"/>
      <c r="S17" s="138" t="n"/>
      <c r="T17" s="139" t="n"/>
      <c r="U17" s="119" t="n"/>
      <c r="V17" s="118" t="n"/>
      <c r="W17" s="119" t="n"/>
      <c r="X17" s="118" t="n"/>
      <c r="Y17" s="119" t="n"/>
      <c r="Z17" s="118" t="n"/>
      <c r="AA17" s="119" t="n"/>
      <c r="AB17" s="118" t="n"/>
      <c r="AC17" s="119" t="n"/>
      <c r="AD17" s="118" t="n"/>
      <c r="AE17" s="119" t="n"/>
      <c r="AF17" s="118" t="n"/>
      <c r="AG17" s="119" t="n"/>
      <c r="AH17" s="118" t="n"/>
      <c r="AI17" s="119" t="n"/>
      <c r="AJ17" s="118" t="n"/>
      <c r="AK17" s="119" t="n"/>
      <c r="AL17" s="118" t="n"/>
      <c r="AM17" s="119" t="n"/>
      <c r="AN17" s="118" t="n"/>
      <c r="AO17" s="119" t="n"/>
      <c r="AP17" s="118" t="n"/>
      <c r="AQ17" s="119" t="n"/>
      <c r="AR17" s="118" t="n"/>
      <c r="AS17" s="119" t="n"/>
      <c r="AT17" s="118" t="n"/>
      <c r="AU17" s="119" t="n"/>
      <c r="AV17" s="118" t="n"/>
      <c r="AW17" s="119" t="n"/>
      <c r="AX17" s="118" t="n"/>
      <c r="AY17" s="119" t="n"/>
      <c r="AZ17" s="118" t="n"/>
      <c r="BA17" s="119" t="n"/>
      <c r="BB17" s="118" t="n"/>
      <c r="BC17" s="119" t="n"/>
      <c r="BD17" s="118" t="n"/>
      <c r="BE17" s="119" t="n"/>
      <c r="BF17" s="118" t="n"/>
      <c r="BG17" s="119" t="n"/>
      <c r="BH17" s="118" t="n"/>
      <c r="BI17" s="119" t="n"/>
      <c r="BJ17" s="118" t="n"/>
    </row>
    <row r="18" ht="18" customHeight="1">
      <c r="A18" s="125" t="n">
        <v>14</v>
      </c>
      <c r="B18" s="126" t="inlineStr">
        <is>
          <t>3.1.1</t>
        </is>
      </c>
      <c r="C18" s="126" t="inlineStr">
        <is>
          <t xml:space="preserve">    User Authentication</t>
        </is>
      </c>
      <c r="D18" s="126" t="inlineStr">
        <is>
          <t>Task</t>
        </is>
      </c>
      <c r="E18" s="126" t="inlineStr">
        <is>
          <t>Completed</t>
        </is>
      </c>
      <c r="F18" s="127" t="n">
        <v>45705</v>
      </c>
      <c r="G18" s="127" t="n">
        <v>45714</v>
      </c>
      <c r="H18" s="125" t="n">
        <v>10</v>
      </c>
      <c r="I18" s="128" t="n">
        <v>1</v>
      </c>
      <c r="J18" s="126" t="inlineStr">
        <is>
          <t>R06</t>
        </is>
      </c>
      <c r="K18" s="119" t="n"/>
      <c r="L18" s="118" t="n"/>
      <c r="M18" s="119" t="n"/>
      <c r="N18" s="118" t="n"/>
      <c r="O18" s="119" t="n"/>
      <c r="P18" s="118" t="n"/>
      <c r="Q18" s="129" t="inlineStr">
        <is>
          <t>✓</t>
        </is>
      </c>
      <c r="R18" s="129" t="inlineStr">
        <is>
          <t>✓</t>
        </is>
      </c>
      <c r="S18" s="119" t="n"/>
      <c r="T18" s="118" t="n"/>
      <c r="U18" s="119" t="n"/>
      <c r="V18" s="118" t="n"/>
      <c r="W18" s="119" t="n"/>
      <c r="X18" s="118" t="n"/>
      <c r="Y18" s="119" t="n"/>
      <c r="Z18" s="118" t="n"/>
      <c r="AA18" s="119" t="n"/>
      <c r="AB18" s="118" t="n"/>
      <c r="AC18" s="119" t="n"/>
      <c r="AD18" s="118" t="n"/>
      <c r="AE18" s="119" t="n"/>
      <c r="AF18" s="118" t="n"/>
      <c r="AG18" s="119" t="n"/>
      <c r="AH18" s="118" t="n"/>
      <c r="AI18" s="119" t="n"/>
      <c r="AJ18" s="118" t="n"/>
      <c r="AK18" s="119" t="n"/>
      <c r="AL18" s="118" t="n"/>
      <c r="AM18" s="119" t="n"/>
      <c r="AN18" s="118" t="n"/>
      <c r="AO18" s="119" t="n"/>
      <c r="AP18" s="118" t="n"/>
      <c r="AQ18" s="119" t="n"/>
      <c r="AR18" s="118" t="n"/>
      <c r="AS18" s="119" t="n"/>
      <c r="AT18" s="118" t="n"/>
      <c r="AU18" s="119" t="n"/>
      <c r="AV18" s="118" t="n"/>
      <c r="AW18" s="119" t="n"/>
      <c r="AX18" s="118" t="n"/>
      <c r="AY18" s="119" t="n"/>
      <c r="AZ18" s="118" t="n"/>
      <c r="BA18" s="119" t="n"/>
      <c r="BB18" s="118" t="n"/>
      <c r="BC18" s="119" t="n"/>
      <c r="BD18" s="118" t="n"/>
      <c r="BE18" s="119" t="n"/>
      <c r="BF18" s="118" t="n"/>
      <c r="BG18" s="119" t="n"/>
      <c r="BH18" s="118" t="n"/>
      <c r="BI18" s="119" t="n"/>
      <c r="BJ18" s="118" t="n"/>
    </row>
    <row r="19" ht="18" customHeight="1">
      <c r="A19" s="125" t="n">
        <v>15</v>
      </c>
      <c r="B19" s="126" t="inlineStr">
        <is>
          <t>3.1.2</t>
        </is>
      </c>
      <c r="C19" s="126" t="inlineStr">
        <is>
          <t xml:space="preserve">    Data Models</t>
        </is>
      </c>
      <c r="D19" s="126" t="inlineStr">
        <is>
          <t>Task</t>
        </is>
      </c>
      <c r="E19" s="126" t="inlineStr">
        <is>
          <t>Completed</t>
        </is>
      </c>
      <c r="F19" s="127" t="n">
        <v>45715</v>
      </c>
      <c r="G19" s="127" t="n">
        <v>45724</v>
      </c>
      <c r="H19" s="125" t="n">
        <v>10</v>
      </c>
      <c r="I19" s="128" t="n">
        <v>1</v>
      </c>
      <c r="J19" s="126" t="inlineStr">
        <is>
          <t>R02</t>
        </is>
      </c>
      <c r="K19" s="119" t="n"/>
      <c r="L19" s="118" t="n"/>
      <c r="M19" s="119" t="n"/>
      <c r="N19" s="118" t="n"/>
      <c r="O19" s="119" t="n"/>
      <c r="P19" s="118" t="n"/>
      <c r="Q19" s="119" t="n"/>
      <c r="R19" s="129" t="inlineStr">
        <is>
          <t>✓</t>
        </is>
      </c>
      <c r="S19" s="129" t="inlineStr">
        <is>
          <t>✓</t>
        </is>
      </c>
      <c r="T19" s="118" t="n"/>
      <c r="U19" s="119" t="n"/>
      <c r="V19" s="118" t="n"/>
      <c r="W19" s="119" t="n"/>
      <c r="X19" s="118" t="n"/>
      <c r="Y19" s="119" t="n"/>
      <c r="Z19" s="118" t="n"/>
      <c r="AA19" s="119" t="n"/>
      <c r="AB19" s="118" t="n"/>
      <c r="AC19" s="119" t="n"/>
      <c r="AD19" s="118" t="n"/>
      <c r="AE19" s="119" t="n"/>
      <c r="AF19" s="118" t="n"/>
      <c r="AG19" s="119" t="n"/>
      <c r="AH19" s="118" t="n"/>
      <c r="AI19" s="119" t="n"/>
      <c r="AJ19" s="118" t="n"/>
      <c r="AK19" s="119" t="n"/>
      <c r="AL19" s="118" t="n"/>
      <c r="AM19" s="119" t="n"/>
      <c r="AN19" s="118" t="n"/>
      <c r="AO19" s="119" t="n"/>
      <c r="AP19" s="118" t="n"/>
      <c r="AQ19" s="119" t="n"/>
      <c r="AR19" s="118" t="n"/>
      <c r="AS19" s="119" t="n"/>
      <c r="AT19" s="118" t="n"/>
      <c r="AU19" s="119" t="n"/>
      <c r="AV19" s="118" t="n"/>
      <c r="AW19" s="119" t="n"/>
      <c r="AX19" s="118" t="n"/>
      <c r="AY19" s="119" t="n"/>
      <c r="AZ19" s="118" t="n"/>
      <c r="BA19" s="119" t="n"/>
      <c r="BB19" s="118" t="n"/>
      <c r="BC19" s="119" t="n"/>
      <c r="BD19" s="118" t="n"/>
      <c r="BE19" s="119" t="n"/>
      <c r="BF19" s="118" t="n"/>
      <c r="BG19" s="119" t="n"/>
      <c r="BH19" s="118" t="n"/>
      <c r="BI19" s="119" t="n"/>
      <c r="BJ19" s="118" t="n"/>
    </row>
    <row r="20" ht="18" customHeight="1">
      <c r="A20" s="125" t="n">
        <v>16</v>
      </c>
      <c r="B20" s="126" t="inlineStr">
        <is>
          <t>3.1.3</t>
        </is>
      </c>
      <c r="C20" s="126" t="inlineStr">
        <is>
          <t xml:space="preserve">    REST API Endpoints</t>
        </is>
      </c>
      <c r="D20" s="126" t="inlineStr">
        <is>
          <t>Task</t>
        </is>
      </c>
      <c r="E20" s="126" t="inlineStr">
        <is>
          <t>In Progress</t>
        </is>
      </c>
      <c r="F20" s="127" t="n">
        <v>45725</v>
      </c>
      <c r="G20" s="127" t="n">
        <v>45732</v>
      </c>
      <c r="H20" s="125" t="n">
        <v>8</v>
      </c>
      <c r="I20" s="128" t="n">
        <v>0.5</v>
      </c>
      <c r="J20" s="126" t="inlineStr">
        <is>
          <t>R02, R06</t>
        </is>
      </c>
      <c r="K20" s="119" t="n"/>
      <c r="L20" s="118" t="n"/>
      <c r="M20" s="119" t="n"/>
      <c r="N20" s="118" t="n"/>
      <c r="O20" s="119" t="n"/>
      <c r="P20" s="118" t="n"/>
      <c r="Q20" s="119" t="n"/>
      <c r="R20" s="118" t="n"/>
      <c r="S20" s="140" t="n"/>
      <c r="T20" s="140" t="n"/>
      <c r="U20" s="119" t="n"/>
      <c r="V20" s="118" t="n"/>
      <c r="W20" s="119" t="n"/>
      <c r="X20" s="118" t="n"/>
      <c r="Y20" s="119" t="n"/>
      <c r="Z20" s="118" t="n"/>
      <c r="AA20" s="119" t="n"/>
      <c r="AB20" s="118" t="n"/>
      <c r="AC20" s="119" t="n"/>
      <c r="AD20" s="118" t="n"/>
      <c r="AE20" s="119" t="n"/>
      <c r="AF20" s="118" t="n"/>
      <c r="AG20" s="119" t="n"/>
      <c r="AH20" s="118" t="n"/>
      <c r="AI20" s="119" t="n"/>
      <c r="AJ20" s="118" t="n"/>
      <c r="AK20" s="119" t="n"/>
      <c r="AL20" s="118" t="n"/>
      <c r="AM20" s="119" t="n"/>
      <c r="AN20" s="118" t="n"/>
      <c r="AO20" s="119" t="n"/>
      <c r="AP20" s="118" t="n"/>
      <c r="AQ20" s="119" t="n"/>
      <c r="AR20" s="118" t="n"/>
      <c r="AS20" s="119" t="n"/>
      <c r="AT20" s="118" t="n"/>
      <c r="AU20" s="119" t="n"/>
      <c r="AV20" s="118" t="n"/>
      <c r="AW20" s="119" t="n"/>
      <c r="AX20" s="118" t="n"/>
      <c r="AY20" s="119" t="n"/>
      <c r="AZ20" s="118" t="n"/>
      <c r="BA20" s="119" t="n"/>
      <c r="BB20" s="118" t="n"/>
      <c r="BC20" s="119" t="n"/>
      <c r="BD20" s="118" t="n"/>
      <c r="BE20" s="119" t="n"/>
      <c r="BF20" s="118" t="n"/>
      <c r="BG20" s="119" t="n"/>
      <c r="BH20" s="118" t="n"/>
      <c r="BI20" s="119" t="n"/>
      <c r="BJ20" s="118" t="n"/>
    </row>
    <row r="21" ht="18" customHeight="1">
      <c r="A21" s="120" t="n">
        <v>17</v>
      </c>
      <c r="B21" s="121" t="inlineStr">
        <is>
          <t>3.2</t>
        </is>
      </c>
      <c r="C21" s="121" t="inlineStr">
        <is>
          <t xml:space="preserve">  Frontend Development</t>
        </is>
      </c>
      <c r="D21" s="121" t="inlineStr">
        <is>
          <t>Feature</t>
        </is>
      </c>
      <c r="E21" s="121" t="inlineStr">
        <is>
          <t>In Progress</t>
        </is>
      </c>
      <c r="F21" s="122" t="n">
        <v>45719</v>
      </c>
      <c r="G21" s="122" t="n">
        <v>45746</v>
      </c>
      <c r="H21" s="120" t="n">
        <v>28</v>
      </c>
      <c r="I21" s="123" t="n">
        <v>0.4</v>
      </c>
      <c r="J21" s="121" t="inlineStr">
        <is>
          <t>R07</t>
        </is>
      </c>
      <c r="K21" s="119" t="n"/>
      <c r="L21" s="118" t="n"/>
      <c r="M21" s="119" t="n"/>
      <c r="N21" s="118" t="n"/>
      <c r="O21" s="119" t="n"/>
      <c r="P21" s="118" t="n"/>
      <c r="Q21" s="119" t="n"/>
      <c r="R21" s="118" t="n"/>
      <c r="S21" s="138" t="n"/>
      <c r="T21" s="138" t="n"/>
      <c r="U21" s="139" t="n"/>
      <c r="V21" s="139" t="n"/>
      <c r="W21" s="119" t="n"/>
      <c r="X21" s="118" t="n"/>
      <c r="Y21" s="119" t="n"/>
      <c r="Z21" s="118" t="n"/>
      <c r="AA21" s="119" t="n"/>
      <c r="AB21" s="118" t="n"/>
      <c r="AC21" s="119" t="n"/>
      <c r="AD21" s="118" t="n"/>
      <c r="AE21" s="119" t="n"/>
      <c r="AF21" s="118" t="n"/>
      <c r="AG21" s="119" t="n"/>
      <c r="AH21" s="118" t="n"/>
      <c r="AI21" s="119" t="n"/>
      <c r="AJ21" s="118" t="n"/>
      <c r="AK21" s="119" t="n"/>
      <c r="AL21" s="118" t="n"/>
      <c r="AM21" s="119" t="n"/>
      <c r="AN21" s="118" t="n"/>
      <c r="AO21" s="119" t="n"/>
      <c r="AP21" s="118" t="n"/>
      <c r="AQ21" s="119" t="n"/>
      <c r="AR21" s="118" t="n"/>
      <c r="AS21" s="119" t="n"/>
      <c r="AT21" s="118" t="n"/>
      <c r="AU21" s="119" t="n"/>
      <c r="AV21" s="118" t="n"/>
      <c r="AW21" s="119" t="n"/>
      <c r="AX21" s="118" t="n"/>
      <c r="AY21" s="119" t="n"/>
      <c r="AZ21" s="118" t="n"/>
      <c r="BA21" s="119" t="n"/>
      <c r="BB21" s="118" t="n"/>
      <c r="BC21" s="119" t="n"/>
      <c r="BD21" s="118" t="n"/>
      <c r="BE21" s="119" t="n"/>
      <c r="BF21" s="118" t="n"/>
      <c r="BG21" s="119" t="n"/>
      <c r="BH21" s="118" t="n"/>
      <c r="BI21" s="119" t="n"/>
      <c r="BJ21" s="118" t="n"/>
    </row>
    <row r="22" ht="18" customHeight="1">
      <c r="A22" s="125" t="n">
        <v>18</v>
      </c>
      <c r="B22" s="126" t="inlineStr">
        <is>
          <t>3.2.1</t>
        </is>
      </c>
      <c r="C22" s="126" t="inlineStr">
        <is>
          <t xml:space="preserve">    Component Library</t>
        </is>
      </c>
      <c r="D22" s="126" t="inlineStr">
        <is>
          <t>Task</t>
        </is>
      </c>
      <c r="E22" s="126" t="inlineStr">
        <is>
          <t>Completed</t>
        </is>
      </c>
      <c r="F22" s="127" t="n">
        <v>45719</v>
      </c>
      <c r="G22" s="127" t="n">
        <v>45732</v>
      </c>
      <c r="H22" s="125" t="n">
        <v>14</v>
      </c>
      <c r="I22" s="128" t="n">
        <v>1</v>
      </c>
      <c r="J22" s="126" t="inlineStr">
        <is>
          <t>R07</t>
        </is>
      </c>
      <c r="K22" s="119" t="n"/>
      <c r="L22" s="118" t="n"/>
      <c r="M22" s="119" t="n"/>
      <c r="N22" s="118" t="n"/>
      <c r="O22" s="119" t="n"/>
      <c r="P22" s="118" t="n"/>
      <c r="Q22" s="119" t="n"/>
      <c r="R22" s="118" t="n"/>
      <c r="S22" s="129" t="inlineStr">
        <is>
          <t>✓</t>
        </is>
      </c>
      <c r="T22" s="129" t="inlineStr">
        <is>
          <t>✓</t>
        </is>
      </c>
      <c r="U22" s="119" t="n"/>
      <c r="V22" s="118" t="n"/>
      <c r="W22" s="119" t="n"/>
      <c r="X22" s="118" t="n"/>
      <c r="Y22" s="119" t="n"/>
      <c r="Z22" s="118" t="n"/>
      <c r="AA22" s="119" t="n"/>
      <c r="AB22" s="118" t="n"/>
      <c r="AC22" s="119" t="n"/>
      <c r="AD22" s="118" t="n"/>
      <c r="AE22" s="119" t="n"/>
      <c r="AF22" s="118" t="n"/>
      <c r="AG22" s="119" t="n"/>
      <c r="AH22" s="118" t="n"/>
      <c r="AI22" s="119" t="n"/>
      <c r="AJ22" s="118" t="n"/>
      <c r="AK22" s="119" t="n"/>
      <c r="AL22" s="118" t="n"/>
      <c r="AM22" s="119" t="n"/>
      <c r="AN22" s="118" t="n"/>
      <c r="AO22" s="119" t="n"/>
      <c r="AP22" s="118" t="n"/>
      <c r="AQ22" s="119" t="n"/>
      <c r="AR22" s="118" t="n"/>
      <c r="AS22" s="119" t="n"/>
      <c r="AT22" s="118" t="n"/>
      <c r="AU22" s="119" t="n"/>
      <c r="AV22" s="118" t="n"/>
      <c r="AW22" s="119" t="n"/>
      <c r="AX22" s="118" t="n"/>
      <c r="AY22" s="119" t="n"/>
      <c r="AZ22" s="118" t="n"/>
      <c r="BA22" s="119" t="n"/>
      <c r="BB22" s="118" t="n"/>
      <c r="BC22" s="119" t="n"/>
      <c r="BD22" s="118" t="n"/>
      <c r="BE22" s="119" t="n"/>
      <c r="BF22" s="118" t="n"/>
      <c r="BG22" s="119" t="n"/>
      <c r="BH22" s="118" t="n"/>
      <c r="BI22" s="119" t="n"/>
      <c r="BJ22" s="118" t="n"/>
    </row>
    <row r="23" ht="18" customHeight="1">
      <c r="A23" s="125" t="n">
        <v>19</v>
      </c>
      <c r="B23" s="126" t="inlineStr">
        <is>
          <t>3.2.2</t>
        </is>
      </c>
      <c r="C23" s="126" t="inlineStr">
        <is>
          <t xml:space="preserve">    Dashboard Views</t>
        </is>
      </c>
      <c r="D23" s="126" t="inlineStr">
        <is>
          <t>Task</t>
        </is>
      </c>
      <c r="E23" s="126" t="inlineStr">
        <is>
          <t>In Progress</t>
        </is>
      </c>
      <c r="F23" s="127" t="n">
        <v>45733</v>
      </c>
      <c r="G23" s="127" t="n">
        <v>45746</v>
      </c>
      <c r="H23" s="125" t="n">
        <v>14</v>
      </c>
      <c r="I23" s="128" t="n">
        <v>0.3</v>
      </c>
      <c r="J23" s="126" t="inlineStr">
        <is>
          <t>R07</t>
        </is>
      </c>
      <c r="K23" s="119" t="n"/>
      <c r="L23" s="118" t="n"/>
      <c r="M23" s="119" t="n"/>
      <c r="N23" s="118" t="n"/>
      <c r="O23" s="119" t="n"/>
      <c r="P23" s="118" t="n"/>
      <c r="Q23" s="119" t="n"/>
      <c r="R23" s="118" t="n"/>
      <c r="S23" s="119" t="n"/>
      <c r="T23" s="118" t="n"/>
      <c r="U23" s="140" t="n"/>
      <c r="V23" s="141" t="n"/>
      <c r="W23" s="119" t="n"/>
      <c r="X23" s="118" t="n"/>
      <c r="Y23" s="119" t="n"/>
      <c r="Z23" s="118" t="n"/>
      <c r="AA23" s="119" t="n"/>
      <c r="AB23" s="118" t="n"/>
      <c r="AC23" s="119" t="n"/>
      <c r="AD23" s="118" t="n"/>
      <c r="AE23" s="119" t="n"/>
      <c r="AF23" s="118" t="n"/>
      <c r="AG23" s="119" t="n"/>
      <c r="AH23" s="118" t="n"/>
      <c r="AI23" s="119" t="n"/>
      <c r="AJ23" s="118" t="n"/>
      <c r="AK23" s="119" t="n"/>
      <c r="AL23" s="118" t="n"/>
      <c r="AM23" s="119" t="n"/>
      <c r="AN23" s="118" t="n"/>
      <c r="AO23" s="119" t="n"/>
      <c r="AP23" s="118" t="n"/>
      <c r="AQ23" s="119" t="n"/>
      <c r="AR23" s="118" t="n"/>
      <c r="AS23" s="119" t="n"/>
      <c r="AT23" s="118" t="n"/>
      <c r="AU23" s="119" t="n"/>
      <c r="AV23" s="118" t="n"/>
      <c r="AW23" s="119" t="n"/>
      <c r="AX23" s="118" t="n"/>
      <c r="AY23" s="119" t="n"/>
      <c r="AZ23" s="118" t="n"/>
      <c r="BA23" s="119" t="n"/>
      <c r="BB23" s="118" t="n"/>
      <c r="BC23" s="119" t="n"/>
      <c r="BD23" s="118" t="n"/>
      <c r="BE23" s="119" t="n"/>
      <c r="BF23" s="118" t="n"/>
      <c r="BG23" s="119" t="n"/>
      <c r="BH23" s="118" t="n"/>
      <c r="BI23" s="119" t="n"/>
      <c r="BJ23" s="118" t="n"/>
    </row>
    <row r="24" ht="18" customHeight="1">
      <c r="A24" s="130" t="n">
        <v>20</v>
      </c>
      <c r="B24" s="131" t="inlineStr">
        <is>
          <t>3.3</t>
        </is>
      </c>
      <c r="C24" s="131" t="inlineStr">
        <is>
          <t xml:space="preserve">  ◆ Sprint 1 Review</t>
        </is>
      </c>
      <c r="D24" s="132" t="inlineStr">
        <is>
          <t>Milestone</t>
        </is>
      </c>
      <c r="E24" s="131" t="inlineStr">
        <is>
          <t>Planned</t>
        </is>
      </c>
      <c r="F24" s="133" t="n">
        <v>45747</v>
      </c>
      <c r="G24" s="133" t="n">
        <v>45747</v>
      </c>
      <c r="H24" s="130" t="n">
        <v>1</v>
      </c>
      <c r="I24" s="134" t="n">
        <v>0</v>
      </c>
      <c r="J24" s="131" t="inlineStr">
        <is>
          <t>R01</t>
        </is>
      </c>
      <c r="K24" s="119" t="n"/>
      <c r="L24" s="118" t="n"/>
      <c r="M24" s="119" t="n"/>
      <c r="N24" s="118" t="n"/>
      <c r="O24" s="119" t="n"/>
      <c r="P24" s="118" t="n"/>
      <c r="Q24" s="119" t="n"/>
      <c r="R24" s="118" t="n"/>
      <c r="S24" s="119" t="n"/>
      <c r="T24" s="118" t="n"/>
      <c r="U24" s="119" t="n"/>
      <c r="V24" s="118" t="n"/>
      <c r="W24" s="135" t="inlineStr">
        <is>
          <t>◆</t>
        </is>
      </c>
      <c r="X24" s="118" t="n"/>
      <c r="Y24" s="119" t="n"/>
      <c r="Z24" s="118" t="n"/>
      <c r="AA24" s="119" t="n"/>
      <c r="AB24" s="118" t="n"/>
      <c r="AC24" s="119" t="n"/>
      <c r="AD24" s="118" t="n"/>
      <c r="AE24" s="119" t="n"/>
      <c r="AF24" s="118" t="n"/>
      <c r="AG24" s="119" t="n"/>
      <c r="AH24" s="118" t="n"/>
      <c r="AI24" s="119" t="n"/>
      <c r="AJ24" s="118" t="n"/>
      <c r="AK24" s="119" t="n"/>
      <c r="AL24" s="118" t="n"/>
      <c r="AM24" s="119" t="n"/>
      <c r="AN24" s="118" t="n"/>
      <c r="AO24" s="119" t="n"/>
      <c r="AP24" s="118" t="n"/>
      <c r="AQ24" s="119" t="n"/>
      <c r="AR24" s="118" t="n"/>
      <c r="AS24" s="119" t="n"/>
      <c r="AT24" s="118" t="n"/>
      <c r="AU24" s="119" t="n"/>
      <c r="AV24" s="118" t="n"/>
      <c r="AW24" s="119" t="n"/>
      <c r="AX24" s="118" t="n"/>
      <c r="AY24" s="119" t="n"/>
      <c r="AZ24" s="118" t="n"/>
      <c r="BA24" s="119" t="n"/>
      <c r="BB24" s="118" t="n"/>
      <c r="BC24" s="119" t="n"/>
      <c r="BD24" s="118" t="n"/>
      <c r="BE24" s="119" t="n"/>
      <c r="BF24" s="118" t="n"/>
      <c r="BG24" s="119" t="n"/>
      <c r="BH24" s="118" t="n"/>
      <c r="BI24" s="119" t="n"/>
      <c r="BJ24" s="118" t="n"/>
    </row>
    <row r="25" ht="18" customHeight="1">
      <c r="A25" s="112" t="n">
        <v>21</v>
      </c>
      <c r="B25" s="113" t="inlineStr">
        <is>
          <t>4</t>
        </is>
      </c>
      <c r="C25" s="113" t="inlineStr">
        <is>
          <t>Development Sprint 2</t>
        </is>
      </c>
      <c r="D25" s="114" t="inlineStr">
        <is>
          <t>Epic</t>
        </is>
      </c>
      <c r="E25" s="113" t="inlineStr">
        <is>
          <t>Planned</t>
        </is>
      </c>
      <c r="F25" s="115" t="n">
        <v>45747</v>
      </c>
      <c r="G25" s="115" t="n">
        <v>45788</v>
      </c>
      <c r="H25" s="112" t="n">
        <v>42</v>
      </c>
      <c r="I25" s="116" t="n">
        <v>0</v>
      </c>
      <c r="J25" s="113" t="inlineStr">
        <is>
          <t>R02, R06</t>
        </is>
      </c>
      <c r="K25" s="119" t="n"/>
      <c r="L25" s="118" t="n"/>
      <c r="M25" s="119" t="n"/>
      <c r="N25" s="118" t="n"/>
      <c r="O25" s="119" t="n"/>
      <c r="P25" s="118" t="n"/>
      <c r="Q25" s="119" t="n"/>
      <c r="R25" s="118" t="n"/>
      <c r="S25" s="119" t="n"/>
      <c r="T25" s="118" t="n"/>
      <c r="U25" s="119" t="n"/>
      <c r="V25" s="118" t="n"/>
      <c r="W25" s="136" t="n"/>
      <c r="X25" s="137" t="n"/>
      <c r="Y25" s="137" t="n"/>
      <c r="Z25" s="137" t="n"/>
      <c r="AA25" s="137" t="n"/>
      <c r="AB25" s="137" t="n"/>
      <c r="AC25" s="119" t="n"/>
      <c r="AD25" s="118" t="n"/>
      <c r="AE25" s="119" t="n"/>
      <c r="AF25" s="118" t="n"/>
      <c r="AG25" s="119" t="n"/>
      <c r="AH25" s="118" t="n"/>
      <c r="AI25" s="119" t="n"/>
      <c r="AJ25" s="118" t="n"/>
      <c r="AK25" s="119" t="n"/>
      <c r="AL25" s="118" t="n"/>
      <c r="AM25" s="119" t="n"/>
      <c r="AN25" s="118" t="n"/>
      <c r="AO25" s="119" t="n"/>
      <c r="AP25" s="118" t="n"/>
      <c r="AQ25" s="119" t="n"/>
      <c r="AR25" s="118" t="n"/>
      <c r="AS25" s="119" t="n"/>
      <c r="AT25" s="118" t="n"/>
      <c r="AU25" s="119" t="n"/>
      <c r="AV25" s="118" t="n"/>
      <c r="AW25" s="119" t="n"/>
      <c r="AX25" s="118" t="n"/>
      <c r="AY25" s="119" t="n"/>
      <c r="AZ25" s="118" t="n"/>
      <c r="BA25" s="119" t="n"/>
      <c r="BB25" s="118" t="n"/>
      <c r="BC25" s="119" t="n"/>
      <c r="BD25" s="118" t="n"/>
      <c r="BE25" s="119" t="n"/>
      <c r="BF25" s="118" t="n"/>
      <c r="BG25" s="119" t="n"/>
      <c r="BH25" s="118" t="n"/>
      <c r="BI25" s="119" t="n"/>
      <c r="BJ25" s="118" t="n"/>
    </row>
    <row r="26" ht="18" customHeight="1">
      <c r="A26" s="120" t="n">
        <v>22</v>
      </c>
      <c r="B26" s="121" t="inlineStr">
        <is>
          <t>4.1</t>
        </is>
      </c>
      <c r="C26" s="121" t="inlineStr">
        <is>
          <t xml:space="preserve">  Integration Development</t>
        </is>
      </c>
      <c r="D26" s="121" t="inlineStr">
        <is>
          <t>Feature</t>
        </is>
      </c>
      <c r="E26" s="121" t="inlineStr">
        <is>
          <t>Planned</t>
        </is>
      </c>
      <c r="F26" s="122" t="n">
        <v>45747</v>
      </c>
      <c r="G26" s="122" t="n">
        <v>45767</v>
      </c>
      <c r="H26" s="120" t="n">
        <v>21</v>
      </c>
      <c r="I26" s="123" t="n">
        <v>0</v>
      </c>
      <c r="J26" s="121" t="inlineStr">
        <is>
          <t>R02, R07</t>
        </is>
      </c>
      <c r="K26" s="119" t="n"/>
      <c r="L26" s="118" t="n"/>
      <c r="M26" s="119" t="n"/>
      <c r="N26" s="118" t="n"/>
      <c r="O26" s="119" t="n"/>
      <c r="P26" s="118" t="n"/>
      <c r="Q26" s="119" t="n"/>
      <c r="R26" s="118" t="n"/>
      <c r="S26" s="119" t="n"/>
      <c r="T26" s="118" t="n"/>
      <c r="U26" s="119" t="n"/>
      <c r="V26" s="118" t="n"/>
      <c r="W26" s="138" t="n"/>
      <c r="X26" s="139" t="n"/>
      <c r="Y26" s="139" t="n"/>
      <c r="Z26" s="118" t="n"/>
      <c r="AA26" s="119" t="n"/>
      <c r="AB26" s="118" t="n"/>
      <c r="AC26" s="119" t="n"/>
      <c r="AD26" s="118" t="n"/>
      <c r="AE26" s="119" t="n"/>
      <c r="AF26" s="118" t="n"/>
      <c r="AG26" s="119" t="n"/>
      <c r="AH26" s="118" t="n"/>
      <c r="AI26" s="119" t="n"/>
      <c r="AJ26" s="118" t="n"/>
      <c r="AK26" s="119" t="n"/>
      <c r="AL26" s="118" t="n"/>
      <c r="AM26" s="119" t="n"/>
      <c r="AN26" s="118" t="n"/>
      <c r="AO26" s="119" t="n"/>
      <c r="AP26" s="118" t="n"/>
      <c r="AQ26" s="119" t="n"/>
      <c r="AR26" s="118" t="n"/>
      <c r="AS26" s="119" t="n"/>
      <c r="AT26" s="118" t="n"/>
      <c r="AU26" s="119" t="n"/>
      <c r="AV26" s="118" t="n"/>
      <c r="AW26" s="119" t="n"/>
      <c r="AX26" s="118" t="n"/>
      <c r="AY26" s="119" t="n"/>
      <c r="AZ26" s="118" t="n"/>
      <c r="BA26" s="119" t="n"/>
      <c r="BB26" s="118" t="n"/>
      <c r="BC26" s="119" t="n"/>
      <c r="BD26" s="118" t="n"/>
      <c r="BE26" s="119" t="n"/>
      <c r="BF26" s="118" t="n"/>
      <c r="BG26" s="119" t="n"/>
      <c r="BH26" s="118" t="n"/>
      <c r="BI26" s="119" t="n"/>
      <c r="BJ26" s="118" t="n"/>
    </row>
    <row r="27" ht="18" customHeight="1">
      <c r="A27" s="120" t="n">
        <v>23</v>
      </c>
      <c r="B27" s="121" t="inlineStr">
        <is>
          <t>4.2</t>
        </is>
      </c>
      <c r="C27" s="121" t="inlineStr">
        <is>
          <t xml:space="preserve">  Performance Optimization</t>
        </is>
      </c>
      <c r="D27" s="121" t="inlineStr">
        <is>
          <t>Feature</t>
        </is>
      </c>
      <c r="E27" s="121" t="inlineStr">
        <is>
          <t>Planned</t>
        </is>
      </c>
      <c r="F27" s="122" t="n">
        <v>45768</v>
      </c>
      <c r="G27" s="122" t="n">
        <v>45788</v>
      </c>
      <c r="H27" s="120" t="n">
        <v>21</v>
      </c>
      <c r="I27" s="123" t="n">
        <v>0</v>
      </c>
      <c r="J27" s="121" t="inlineStr">
        <is>
          <t>R06</t>
        </is>
      </c>
      <c r="K27" s="119" t="n"/>
      <c r="L27" s="118" t="n"/>
      <c r="M27" s="119" t="n"/>
      <c r="N27" s="118" t="n"/>
      <c r="O27" s="119" t="n"/>
      <c r="P27" s="118" t="n"/>
      <c r="Q27" s="119" t="n"/>
      <c r="R27" s="118" t="n"/>
      <c r="S27" s="119" t="n"/>
      <c r="T27" s="118" t="n"/>
      <c r="U27" s="119" t="n"/>
      <c r="V27" s="118" t="n"/>
      <c r="W27" s="119" t="n"/>
      <c r="X27" s="118" t="n"/>
      <c r="Y27" s="119" t="n"/>
      <c r="Z27" s="138" t="n"/>
      <c r="AA27" s="139" t="n"/>
      <c r="AB27" s="139" t="n"/>
      <c r="AC27" s="119" t="n"/>
      <c r="AD27" s="118" t="n"/>
      <c r="AE27" s="119" t="n"/>
      <c r="AF27" s="118" t="n"/>
      <c r="AG27" s="119" t="n"/>
      <c r="AH27" s="118" t="n"/>
      <c r="AI27" s="119" t="n"/>
      <c r="AJ27" s="118" t="n"/>
      <c r="AK27" s="119" t="n"/>
      <c r="AL27" s="118" t="n"/>
      <c r="AM27" s="119" t="n"/>
      <c r="AN27" s="118" t="n"/>
      <c r="AO27" s="119" t="n"/>
      <c r="AP27" s="118" t="n"/>
      <c r="AQ27" s="119" t="n"/>
      <c r="AR27" s="118" t="n"/>
      <c r="AS27" s="119" t="n"/>
      <c r="AT27" s="118" t="n"/>
      <c r="AU27" s="119" t="n"/>
      <c r="AV27" s="118" t="n"/>
      <c r="AW27" s="119" t="n"/>
      <c r="AX27" s="118" t="n"/>
      <c r="AY27" s="119" t="n"/>
      <c r="AZ27" s="118" t="n"/>
      <c r="BA27" s="119" t="n"/>
      <c r="BB27" s="118" t="n"/>
      <c r="BC27" s="119" t="n"/>
      <c r="BD27" s="118" t="n"/>
      <c r="BE27" s="119" t="n"/>
      <c r="BF27" s="118" t="n"/>
      <c r="BG27" s="119" t="n"/>
      <c r="BH27" s="118" t="n"/>
      <c r="BI27" s="119" t="n"/>
      <c r="BJ27" s="118" t="n"/>
    </row>
    <row r="28" ht="18" customHeight="1">
      <c r="A28" s="142" t="n">
        <v>24</v>
      </c>
      <c r="B28" s="143" t="inlineStr">
        <is>
          <t>4.3</t>
        </is>
      </c>
      <c r="C28" s="143" t="inlineStr">
        <is>
          <t xml:space="preserve">  ★ Sprint 2 Deliverable</t>
        </is>
      </c>
      <c r="D28" s="144" t="inlineStr">
        <is>
          <t>Deliverable</t>
        </is>
      </c>
      <c r="E28" s="143" t="inlineStr">
        <is>
          <t>Planned</t>
        </is>
      </c>
      <c r="F28" s="145" t="n">
        <v>45789</v>
      </c>
      <c r="G28" s="145" t="n">
        <v>45789</v>
      </c>
      <c r="H28" s="142" t="n">
        <v>1</v>
      </c>
      <c r="I28" s="146" t="n">
        <v>0</v>
      </c>
      <c r="J28" s="143" t="inlineStr">
        <is>
          <t>R01</t>
        </is>
      </c>
      <c r="K28" s="119" t="n"/>
      <c r="L28" s="118" t="n"/>
      <c r="M28" s="119" t="n"/>
      <c r="N28" s="118" t="n"/>
      <c r="O28" s="119" t="n"/>
      <c r="P28" s="118" t="n"/>
      <c r="Q28" s="119" t="n"/>
      <c r="R28" s="118" t="n"/>
      <c r="S28" s="119" t="n"/>
      <c r="T28" s="118" t="n"/>
      <c r="U28" s="119" t="n"/>
      <c r="V28" s="118" t="n"/>
      <c r="W28" s="119" t="n"/>
      <c r="X28" s="118" t="n"/>
      <c r="Y28" s="119" t="n"/>
      <c r="Z28" s="118" t="n"/>
      <c r="AA28" s="119" t="n"/>
      <c r="AB28" s="118" t="n"/>
      <c r="AC28" s="147" t="inlineStr">
        <is>
          <t>★</t>
        </is>
      </c>
      <c r="AD28" s="118" t="n"/>
      <c r="AE28" s="119" t="n"/>
      <c r="AF28" s="118" t="n"/>
      <c r="AG28" s="119" t="n"/>
      <c r="AH28" s="118" t="n"/>
      <c r="AI28" s="119" t="n"/>
      <c r="AJ28" s="118" t="n"/>
      <c r="AK28" s="119" t="n"/>
      <c r="AL28" s="118" t="n"/>
      <c r="AM28" s="119" t="n"/>
      <c r="AN28" s="118" t="n"/>
      <c r="AO28" s="119" t="n"/>
      <c r="AP28" s="118" t="n"/>
      <c r="AQ28" s="119" t="n"/>
      <c r="AR28" s="118" t="n"/>
      <c r="AS28" s="119" t="n"/>
      <c r="AT28" s="118" t="n"/>
      <c r="AU28" s="119" t="n"/>
      <c r="AV28" s="118" t="n"/>
      <c r="AW28" s="119" t="n"/>
      <c r="AX28" s="118" t="n"/>
      <c r="AY28" s="119" t="n"/>
      <c r="AZ28" s="118" t="n"/>
      <c r="BA28" s="119" t="n"/>
      <c r="BB28" s="118" t="n"/>
      <c r="BC28" s="119" t="n"/>
      <c r="BD28" s="118" t="n"/>
      <c r="BE28" s="119" t="n"/>
      <c r="BF28" s="118" t="n"/>
      <c r="BG28" s="119" t="n"/>
      <c r="BH28" s="118" t="n"/>
      <c r="BI28" s="119" t="n"/>
      <c r="BJ28" s="118" t="n"/>
    </row>
    <row r="29" ht="18" customHeight="1">
      <c r="A29" s="112" t="n">
        <v>25</v>
      </c>
      <c r="B29" s="113" t="inlineStr">
        <is>
          <t>5</t>
        </is>
      </c>
      <c r="C29" s="113" t="inlineStr">
        <is>
          <t>Testing &amp; QA</t>
        </is>
      </c>
      <c r="D29" s="114" t="inlineStr">
        <is>
          <t>Epic</t>
        </is>
      </c>
      <c r="E29" s="113" t="inlineStr">
        <is>
          <t>Planned</t>
        </is>
      </c>
      <c r="F29" s="115" t="n">
        <v>45783</v>
      </c>
      <c r="G29" s="115" t="n">
        <v>45810</v>
      </c>
      <c r="H29" s="112" t="n">
        <v>28</v>
      </c>
      <c r="I29" s="116" t="n">
        <v>0</v>
      </c>
      <c r="J29" s="113" t="inlineStr">
        <is>
          <t>R04, R02</t>
        </is>
      </c>
      <c r="K29" s="119" t="n"/>
      <c r="L29" s="118" t="n"/>
      <c r="M29" s="119" t="n"/>
      <c r="N29" s="118" t="n"/>
      <c r="O29" s="119" t="n"/>
      <c r="P29" s="118" t="n"/>
      <c r="Q29" s="119" t="n"/>
      <c r="R29" s="118" t="n"/>
      <c r="S29" s="119" t="n"/>
      <c r="T29" s="118" t="n"/>
      <c r="U29" s="119" t="n"/>
      <c r="V29" s="118" t="n"/>
      <c r="W29" s="119" t="n"/>
      <c r="X29" s="118" t="n"/>
      <c r="Y29" s="119" t="n"/>
      <c r="Z29" s="118" t="n"/>
      <c r="AA29" s="119" t="n"/>
      <c r="AB29" s="136" t="n"/>
      <c r="AC29" s="137" t="n"/>
      <c r="AD29" s="137" t="n"/>
      <c r="AE29" s="137" t="n"/>
      <c r="AF29" s="137" t="n"/>
      <c r="AG29" s="119" t="n"/>
      <c r="AH29" s="118" t="n"/>
      <c r="AI29" s="119" t="n"/>
      <c r="AJ29" s="118" t="n"/>
      <c r="AK29" s="119" t="n"/>
      <c r="AL29" s="118" t="n"/>
      <c r="AM29" s="119" t="n"/>
      <c r="AN29" s="118" t="n"/>
      <c r="AO29" s="119" t="n"/>
      <c r="AP29" s="118" t="n"/>
      <c r="AQ29" s="119" t="n"/>
      <c r="AR29" s="118" t="n"/>
      <c r="AS29" s="119" t="n"/>
      <c r="AT29" s="118" t="n"/>
      <c r="AU29" s="119" t="n"/>
      <c r="AV29" s="118" t="n"/>
      <c r="AW29" s="119" t="n"/>
      <c r="AX29" s="118" t="n"/>
      <c r="AY29" s="119" t="n"/>
      <c r="AZ29" s="118" t="n"/>
      <c r="BA29" s="119" t="n"/>
      <c r="BB29" s="118" t="n"/>
      <c r="BC29" s="119" t="n"/>
      <c r="BD29" s="118" t="n"/>
      <c r="BE29" s="119" t="n"/>
      <c r="BF29" s="118" t="n"/>
      <c r="BG29" s="119" t="n"/>
      <c r="BH29" s="118" t="n"/>
      <c r="BI29" s="119" t="n"/>
      <c r="BJ29" s="118" t="n"/>
    </row>
    <row r="30" ht="18" customHeight="1">
      <c r="A30" s="120" t="n">
        <v>26</v>
      </c>
      <c r="B30" s="121" t="inlineStr">
        <is>
          <t>5.1</t>
        </is>
      </c>
      <c r="C30" s="121" t="inlineStr">
        <is>
          <t xml:space="preserve">  Unit Testing</t>
        </is>
      </c>
      <c r="D30" s="121" t="inlineStr">
        <is>
          <t>Feature</t>
        </is>
      </c>
      <c r="E30" s="121" t="inlineStr">
        <is>
          <t>Planned</t>
        </is>
      </c>
      <c r="F30" s="122" t="n">
        <v>45783</v>
      </c>
      <c r="G30" s="122" t="n">
        <v>45796</v>
      </c>
      <c r="H30" s="120" t="n">
        <v>14</v>
      </c>
      <c r="I30" s="123" t="n">
        <v>0</v>
      </c>
      <c r="J30" s="121" t="inlineStr">
        <is>
          <t>R02</t>
        </is>
      </c>
      <c r="K30" s="119" t="n"/>
      <c r="L30" s="118" t="n"/>
      <c r="M30" s="119" t="n"/>
      <c r="N30" s="118" t="n"/>
      <c r="O30" s="119" t="n"/>
      <c r="P30" s="118" t="n"/>
      <c r="Q30" s="119" t="n"/>
      <c r="R30" s="118" t="n"/>
      <c r="S30" s="119" t="n"/>
      <c r="T30" s="118" t="n"/>
      <c r="U30" s="119" t="n"/>
      <c r="V30" s="118" t="n"/>
      <c r="W30" s="119" t="n"/>
      <c r="X30" s="118" t="n"/>
      <c r="Y30" s="119" t="n"/>
      <c r="Z30" s="118" t="n"/>
      <c r="AA30" s="119" t="n"/>
      <c r="AB30" s="138" t="n"/>
      <c r="AC30" s="139" t="n"/>
      <c r="AD30" s="139" t="n"/>
      <c r="AE30" s="119" t="n"/>
      <c r="AF30" s="118" t="n"/>
      <c r="AG30" s="119" t="n"/>
      <c r="AH30" s="118" t="n"/>
      <c r="AI30" s="119" t="n"/>
      <c r="AJ30" s="118" t="n"/>
      <c r="AK30" s="119" t="n"/>
      <c r="AL30" s="118" t="n"/>
      <c r="AM30" s="119" t="n"/>
      <c r="AN30" s="118" t="n"/>
      <c r="AO30" s="119" t="n"/>
      <c r="AP30" s="118" t="n"/>
      <c r="AQ30" s="119" t="n"/>
      <c r="AR30" s="118" t="n"/>
      <c r="AS30" s="119" t="n"/>
      <c r="AT30" s="118" t="n"/>
      <c r="AU30" s="119" t="n"/>
      <c r="AV30" s="118" t="n"/>
      <c r="AW30" s="119" t="n"/>
      <c r="AX30" s="118" t="n"/>
      <c r="AY30" s="119" t="n"/>
      <c r="AZ30" s="118" t="n"/>
      <c r="BA30" s="119" t="n"/>
      <c r="BB30" s="118" t="n"/>
      <c r="BC30" s="119" t="n"/>
      <c r="BD30" s="118" t="n"/>
      <c r="BE30" s="119" t="n"/>
      <c r="BF30" s="118" t="n"/>
      <c r="BG30" s="119" t="n"/>
      <c r="BH30" s="118" t="n"/>
      <c r="BI30" s="119" t="n"/>
      <c r="BJ30" s="118" t="n"/>
    </row>
    <row r="31" ht="18" customHeight="1">
      <c r="A31" s="120" t="n">
        <v>27</v>
      </c>
      <c r="B31" s="121" t="inlineStr">
        <is>
          <t>5.2</t>
        </is>
      </c>
      <c r="C31" s="121" t="inlineStr">
        <is>
          <t xml:space="preserve">  Integration Testing</t>
        </is>
      </c>
      <c r="D31" s="121" t="inlineStr">
        <is>
          <t>Feature</t>
        </is>
      </c>
      <c r="E31" s="121" t="inlineStr">
        <is>
          <t>Planned</t>
        </is>
      </c>
      <c r="F31" s="122" t="n">
        <v>45797</v>
      </c>
      <c r="G31" s="122" t="n">
        <v>45810</v>
      </c>
      <c r="H31" s="120" t="n">
        <v>14</v>
      </c>
      <c r="I31" s="123" t="n">
        <v>0</v>
      </c>
      <c r="J31" s="121" t="inlineStr">
        <is>
          <t>R04</t>
        </is>
      </c>
      <c r="K31" s="119" t="n"/>
      <c r="L31" s="118" t="n"/>
      <c r="M31" s="119" t="n"/>
      <c r="N31" s="118" t="n"/>
      <c r="O31" s="119" t="n"/>
      <c r="P31" s="118" t="n"/>
      <c r="Q31" s="119" t="n"/>
      <c r="R31" s="118" t="n"/>
      <c r="S31" s="119" t="n"/>
      <c r="T31" s="118" t="n"/>
      <c r="U31" s="119" t="n"/>
      <c r="V31" s="118" t="n"/>
      <c r="W31" s="119" t="n"/>
      <c r="X31" s="118" t="n"/>
      <c r="Y31" s="119" t="n"/>
      <c r="Z31" s="118" t="n"/>
      <c r="AA31" s="119" t="n"/>
      <c r="AB31" s="118" t="n"/>
      <c r="AC31" s="119" t="n"/>
      <c r="AD31" s="138" t="n"/>
      <c r="AE31" s="139" t="n"/>
      <c r="AF31" s="139" t="n"/>
      <c r="AG31" s="119" t="n"/>
      <c r="AH31" s="118" t="n"/>
      <c r="AI31" s="119" t="n"/>
      <c r="AJ31" s="118" t="n"/>
      <c r="AK31" s="119" t="n"/>
      <c r="AL31" s="118" t="n"/>
      <c r="AM31" s="119" t="n"/>
      <c r="AN31" s="118" t="n"/>
      <c r="AO31" s="119" t="n"/>
      <c r="AP31" s="118" t="n"/>
      <c r="AQ31" s="119" t="n"/>
      <c r="AR31" s="118" t="n"/>
      <c r="AS31" s="119" t="n"/>
      <c r="AT31" s="118" t="n"/>
      <c r="AU31" s="119" t="n"/>
      <c r="AV31" s="118" t="n"/>
      <c r="AW31" s="119" t="n"/>
      <c r="AX31" s="118" t="n"/>
      <c r="AY31" s="119" t="n"/>
      <c r="AZ31" s="118" t="n"/>
      <c r="BA31" s="119" t="n"/>
      <c r="BB31" s="118" t="n"/>
      <c r="BC31" s="119" t="n"/>
      <c r="BD31" s="118" t="n"/>
      <c r="BE31" s="119" t="n"/>
      <c r="BF31" s="118" t="n"/>
      <c r="BG31" s="119" t="n"/>
      <c r="BH31" s="118" t="n"/>
      <c r="BI31" s="119" t="n"/>
      <c r="BJ31" s="118" t="n"/>
    </row>
    <row r="32" ht="18" customHeight="1">
      <c r="A32" s="120" t="n">
        <v>28</v>
      </c>
      <c r="B32" s="121" t="inlineStr">
        <is>
          <t>5.3</t>
        </is>
      </c>
      <c r="C32" s="121" t="inlineStr">
        <is>
          <t xml:space="preserve">  UAT</t>
        </is>
      </c>
      <c r="D32" s="121" t="inlineStr">
        <is>
          <t>Feature</t>
        </is>
      </c>
      <c r="E32" s="121" t="inlineStr">
        <is>
          <t>Planned</t>
        </is>
      </c>
      <c r="F32" s="122" t="n">
        <v>45811</v>
      </c>
      <c r="G32" s="122" t="n">
        <v>45820</v>
      </c>
      <c r="H32" s="120" t="n">
        <v>10</v>
      </c>
      <c r="I32" s="123" t="n">
        <v>0</v>
      </c>
      <c r="J32" s="121" t="inlineStr">
        <is>
          <t>R01, R04</t>
        </is>
      </c>
      <c r="K32" s="119" t="n"/>
      <c r="L32" s="118" t="n"/>
      <c r="M32" s="119" t="n"/>
      <c r="N32" s="118" t="n"/>
      <c r="O32" s="119" t="n"/>
      <c r="P32" s="118" t="n"/>
      <c r="Q32" s="119" t="n"/>
      <c r="R32" s="118" t="n"/>
      <c r="S32" s="119" t="n"/>
      <c r="T32" s="118" t="n"/>
      <c r="U32" s="119" t="n"/>
      <c r="V32" s="118" t="n"/>
      <c r="W32" s="119" t="n"/>
      <c r="X32" s="118" t="n"/>
      <c r="Y32" s="119" t="n"/>
      <c r="Z32" s="118" t="n"/>
      <c r="AA32" s="119" t="n"/>
      <c r="AB32" s="118" t="n"/>
      <c r="AC32" s="119" t="n"/>
      <c r="AD32" s="118" t="n"/>
      <c r="AE32" s="119" t="n"/>
      <c r="AF32" s="138" t="n"/>
      <c r="AG32" s="139" t="n"/>
      <c r="AH32" s="118" t="n"/>
      <c r="AI32" s="119" t="n"/>
      <c r="AJ32" s="118" t="n"/>
      <c r="AK32" s="119" t="n"/>
      <c r="AL32" s="118" t="n"/>
      <c r="AM32" s="119" t="n"/>
      <c r="AN32" s="118" t="n"/>
      <c r="AO32" s="119" t="n"/>
      <c r="AP32" s="118" t="n"/>
      <c r="AQ32" s="119" t="n"/>
      <c r="AR32" s="118" t="n"/>
      <c r="AS32" s="119" t="n"/>
      <c r="AT32" s="118" t="n"/>
      <c r="AU32" s="119" t="n"/>
      <c r="AV32" s="118" t="n"/>
      <c r="AW32" s="119" t="n"/>
      <c r="AX32" s="118" t="n"/>
      <c r="AY32" s="119" t="n"/>
      <c r="AZ32" s="118" t="n"/>
      <c r="BA32" s="119" t="n"/>
      <c r="BB32" s="118" t="n"/>
      <c r="BC32" s="119" t="n"/>
      <c r="BD32" s="118" t="n"/>
      <c r="BE32" s="119" t="n"/>
      <c r="BF32" s="118" t="n"/>
      <c r="BG32" s="119" t="n"/>
      <c r="BH32" s="118" t="n"/>
      <c r="BI32" s="119" t="n"/>
      <c r="BJ32" s="118" t="n"/>
    </row>
    <row r="33" ht="18" customHeight="1">
      <c r="A33" s="130" t="n">
        <v>29</v>
      </c>
      <c r="B33" s="131" t="inlineStr">
        <is>
          <t>5.4</t>
        </is>
      </c>
      <c r="C33" s="131" t="inlineStr">
        <is>
          <t xml:space="preserve">  ◆ Testing Sign-off</t>
        </is>
      </c>
      <c r="D33" s="132" t="inlineStr">
        <is>
          <t>Milestone</t>
        </is>
      </c>
      <c r="E33" s="131" t="inlineStr">
        <is>
          <t>Planned</t>
        </is>
      </c>
      <c r="F33" s="133" t="n">
        <v>45821</v>
      </c>
      <c r="G33" s="133" t="n">
        <v>45821</v>
      </c>
      <c r="H33" s="130" t="n">
        <v>1</v>
      </c>
      <c r="I33" s="134" t="n">
        <v>0</v>
      </c>
      <c r="J33" s="131" t="inlineStr">
        <is>
          <t>R01</t>
        </is>
      </c>
      <c r="K33" s="119" t="n"/>
      <c r="L33" s="118" t="n"/>
      <c r="M33" s="119" t="n"/>
      <c r="N33" s="118" t="n"/>
      <c r="O33" s="119" t="n"/>
      <c r="P33" s="118" t="n"/>
      <c r="Q33" s="119" t="n"/>
      <c r="R33" s="118" t="n"/>
      <c r="S33" s="119" t="n"/>
      <c r="T33" s="118" t="n"/>
      <c r="U33" s="119" t="n"/>
      <c r="V33" s="118" t="n"/>
      <c r="W33" s="119" t="n"/>
      <c r="X33" s="118" t="n"/>
      <c r="Y33" s="119" t="n"/>
      <c r="Z33" s="118" t="n"/>
      <c r="AA33" s="119" t="n"/>
      <c r="AB33" s="118" t="n"/>
      <c r="AC33" s="119" t="n"/>
      <c r="AD33" s="118" t="n"/>
      <c r="AE33" s="119" t="n"/>
      <c r="AF33" s="118" t="n"/>
      <c r="AG33" s="135" t="inlineStr">
        <is>
          <t>◆</t>
        </is>
      </c>
      <c r="AH33" s="118" t="n"/>
      <c r="AI33" s="119" t="n"/>
      <c r="AJ33" s="118" t="n"/>
      <c r="AK33" s="119" t="n"/>
      <c r="AL33" s="118" t="n"/>
      <c r="AM33" s="119" t="n"/>
      <c r="AN33" s="118" t="n"/>
      <c r="AO33" s="119" t="n"/>
      <c r="AP33" s="118" t="n"/>
      <c r="AQ33" s="119" t="n"/>
      <c r="AR33" s="118" t="n"/>
      <c r="AS33" s="119" t="n"/>
      <c r="AT33" s="118" t="n"/>
      <c r="AU33" s="119" t="n"/>
      <c r="AV33" s="118" t="n"/>
      <c r="AW33" s="119" t="n"/>
      <c r="AX33" s="118" t="n"/>
      <c r="AY33" s="119" t="n"/>
      <c r="AZ33" s="118" t="n"/>
      <c r="BA33" s="119" t="n"/>
      <c r="BB33" s="118" t="n"/>
      <c r="BC33" s="119" t="n"/>
      <c r="BD33" s="118" t="n"/>
      <c r="BE33" s="119" t="n"/>
      <c r="BF33" s="118" t="n"/>
      <c r="BG33" s="119" t="n"/>
      <c r="BH33" s="118" t="n"/>
      <c r="BI33" s="119" t="n"/>
      <c r="BJ33" s="118" t="n"/>
    </row>
    <row r="34" ht="18" customHeight="1">
      <c r="A34" s="112" t="n">
        <v>30</v>
      </c>
      <c r="B34" s="113" t="inlineStr">
        <is>
          <t>6</t>
        </is>
      </c>
      <c r="C34" s="113" t="inlineStr">
        <is>
          <t>Deployment</t>
        </is>
      </c>
      <c r="D34" s="114" t="inlineStr">
        <is>
          <t>Epic</t>
        </is>
      </c>
      <c r="E34" s="113" t="inlineStr">
        <is>
          <t>Planned</t>
        </is>
      </c>
      <c r="F34" s="115" t="n">
        <v>45821</v>
      </c>
      <c r="G34" s="115" t="n">
        <v>45834</v>
      </c>
      <c r="H34" s="112" t="n">
        <v>14</v>
      </c>
      <c r="I34" s="116" t="n">
        <v>0</v>
      </c>
      <c r="J34" s="113" t="inlineStr">
        <is>
          <t>R08, R02</t>
        </is>
      </c>
      <c r="K34" s="119" t="n"/>
      <c r="L34" s="118" t="n"/>
      <c r="M34" s="119" t="n"/>
      <c r="N34" s="118" t="n"/>
      <c r="O34" s="119" t="n"/>
      <c r="P34" s="118" t="n"/>
      <c r="Q34" s="119" t="n"/>
      <c r="R34" s="118" t="n"/>
      <c r="S34" s="119" t="n"/>
      <c r="T34" s="118" t="n"/>
      <c r="U34" s="119" t="n"/>
      <c r="V34" s="118" t="n"/>
      <c r="W34" s="119" t="n"/>
      <c r="X34" s="118" t="n"/>
      <c r="Y34" s="119" t="n"/>
      <c r="Z34" s="118" t="n"/>
      <c r="AA34" s="119" t="n"/>
      <c r="AB34" s="118" t="n"/>
      <c r="AC34" s="119" t="n"/>
      <c r="AD34" s="118" t="n"/>
      <c r="AE34" s="119" t="n"/>
      <c r="AF34" s="118" t="n"/>
      <c r="AG34" s="136" t="n"/>
      <c r="AH34" s="137" t="n"/>
      <c r="AI34" s="137" t="n"/>
      <c r="AJ34" s="118" t="n"/>
      <c r="AK34" s="119" t="n"/>
      <c r="AL34" s="118" t="n"/>
      <c r="AM34" s="119" t="n"/>
      <c r="AN34" s="118" t="n"/>
      <c r="AO34" s="119" t="n"/>
      <c r="AP34" s="118" t="n"/>
      <c r="AQ34" s="119" t="n"/>
      <c r="AR34" s="118" t="n"/>
      <c r="AS34" s="119" t="n"/>
      <c r="AT34" s="118" t="n"/>
      <c r="AU34" s="119" t="n"/>
      <c r="AV34" s="118" t="n"/>
      <c r="AW34" s="119" t="n"/>
      <c r="AX34" s="118" t="n"/>
      <c r="AY34" s="119" t="n"/>
      <c r="AZ34" s="118" t="n"/>
      <c r="BA34" s="119" t="n"/>
      <c r="BB34" s="118" t="n"/>
      <c r="BC34" s="119" t="n"/>
      <c r="BD34" s="118" t="n"/>
      <c r="BE34" s="119" t="n"/>
      <c r="BF34" s="118" t="n"/>
      <c r="BG34" s="119" t="n"/>
      <c r="BH34" s="118" t="n"/>
      <c r="BI34" s="119" t="n"/>
      <c r="BJ34" s="118" t="n"/>
    </row>
    <row r="35" ht="18" customHeight="1">
      <c r="A35" s="125" t="n">
        <v>31</v>
      </c>
      <c r="B35" s="126" t="inlineStr">
        <is>
          <t>6.1</t>
        </is>
      </c>
      <c r="C35" s="126" t="inlineStr">
        <is>
          <t xml:space="preserve">  Staging Deployment</t>
        </is>
      </c>
      <c r="D35" s="126" t="inlineStr">
        <is>
          <t>Task</t>
        </is>
      </c>
      <c r="E35" s="126" t="inlineStr">
        <is>
          <t>Planned</t>
        </is>
      </c>
      <c r="F35" s="127" t="n">
        <v>45821</v>
      </c>
      <c r="G35" s="127" t="n">
        <v>45827</v>
      </c>
      <c r="H35" s="125" t="n">
        <v>7</v>
      </c>
      <c r="I35" s="128" t="n">
        <v>0</v>
      </c>
      <c r="J35" s="126" t="inlineStr">
        <is>
          <t>R08</t>
        </is>
      </c>
      <c r="K35" s="119" t="n"/>
      <c r="L35" s="118" t="n"/>
      <c r="M35" s="119" t="n"/>
      <c r="N35" s="118" t="n"/>
      <c r="O35" s="119" t="n"/>
      <c r="P35" s="118" t="n"/>
      <c r="Q35" s="119" t="n"/>
      <c r="R35" s="118" t="n"/>
      <c r="S35" s="119" t="n"/>
      <c r="T35" s="118" t="n"/>
      <c r="U35" s="119" t="n"/>
      <c r="V35" s="118" t="n"/>
      <c r="W35" s="119" t="n"/>
      <c r="X35" s="118" t="n"/>
      <c r="Y35" s="119" t="n"/>
      <c r="Z35" s="118" t="n"/>
      <c r="AA35" s="119" t="n"/>
      <c r="AB35" s="118" t="n"/>
      <c r="AC35" s="119" t="n"/>
      <c r="AD35" s="118" t="n"/>
      <c r="AE35" s="119" t="n"/>
      <c r="AF35" s="118" t="n"/>
      <c r="AG35" s="140" t="n"/>
      <c r="AH35" s="141" t="n"/>
      <c r="AI35" s="119" t="n"/>
      <c r="AJ35" s="118" t="n"/>
      <c r="AK35" s="119" t="n"/>
      <c r="AL35" s="118" t="n"/>
      <c r="AM35" s="119" t="n"/>
      <c r="AN35" s="118" t="n"/>
      <c r="AO35" s="119" t="n"/>
      <c r="AP35" s="118" t="n"/>
      <c r="AQ35" s="119" t="n"/>
      <c r="AR35" s="118" t="n"/>
      <c r="AS35" s="119" t="n"/>
      <c r="AT35" s="118" t="n"/>
      <c r="AU35" s="119" t="n"/>
      <c r="AV35" s="118" t="n"/>
      <c r="AW35" s="119" t="n"/>
      <c r="AX35" s="118" t="n"/>
      <c r="AY35" s="119" t="n"/>
      <c r="AZ35" s="118" t="n"/>
      <c r="BA35" s="119" t="n"/>
      <c r="BB35" s="118" t="n"/>
      <c r="BC35" s="119" t="n"/>
      <c r="BD35" s="118" t="n"/>
      <c r="BE35" s="119" t="n"/>
      <c r="BF35" s="118" t="n"/>
      <c r="BG35" s="119" t="n"/>
      <c r="BH35" s="118" t="n"/>
      <c r="BI35" s="119" t="n"/>
      <c r="BJ35" s="118" t="n"/>
    </row>
    <row r="36" ht="18" customHeight="1">
      <c r="A36" s="142" t="n">
        <v>32</v>
      </c>
      <c r="B36" s="143" t="inlineStr">
        <is>
          <t>6.2</t>
        </is>
      </c>
      <c r="C36" s="143" t="inlineStr">
        <is>
          <t xml:space="preserve">  ★ Production Deployment</t>
        </is>
      </c>
      <c r="D36" s="144" t="inlineStr">
        <is>
          <t>Deliverable</t>
        </is>
      </c>
      <c r="E36" s="143" t="inlineStr">
        <is>
          <t>Planned</t>
        </is>
      </c>
      <c r="F36" s="145" t="n">
        <v>45828</v>
      </c>
      <c r="G36" s="145" t="n">
        <v>45830</v>
      </c>
      <c r="H36" s="142" t="n">
        <v>3</v>
      </c>
      <c r="I36" s="146" t="n">
        <v>0</v>
      </c>
      <c r="J36" s="143" t="inlineStr">
        <is>
          <t>R08, R01</t>
        </is>
      </c>
      <c r="K36" s="119" t="n"/>
      <c r="L36" s="118" t="n"/>
      <c r="M36" s="119" t="n"/>
      <c r="N36" s="118" t="n"/>
      <c r="O36" s="119" t="n"/>
      <c r="P36" s="118" t="n"/>
      <c r="Q36" s="119" t="n"/>
      <c r="R36" s="118" t="n"/>
      <c r="S36" s="119" t="n"/>
      <c r="T36" s="118" t="n"/>
      <c r="U36" s="119" t="n"/>
      <c r="V36" s="118" t="n"/>
      <c r="W36" s="119" t="n"/>
      <c r="X36" s="118" t="n"/>
      <c r="Y36" s="119" t="n"/>
      <c r="Z36" s="118" t="n"/>
      <c r="AA36" s="119" t="n"/>
      <c r="AB36" s="118" t="n"/>
      <c r="AC36" s="119" t="n"/>
      <c r="AD36" s="118" t="n"/>
      <c r="AE36" s="119" t="n"/>
      <c r="AF36" s="118" t="n"/>
      <c r="AG36" s="119" t="n"/>
      <c r="AH36" s="147" t="inlineStr">
        <is>
          <t>★</t>
        </is>
      </c>
      <c r="AI36" s="119" t="n"/>
      <c r="AJ36" s="118" t="n"/>
      <c r="AK36" s="119" t="n"/>
      <c r="AL36" s="118" t="n"/>
      <c r="AM36" s="119" t="n"/>
      <c r="AN36" s="118" t="n"/>
      <c r="AO36" s="119" t="n"/>
      <c r="AP36" s="118" t="n"/>
      <c r="AQ36" s="119" t="n"/>
      <c r="AR36" s="118" t="n"/>
      <c r="AS36" s="119" t="n"/>
      <c r="AT36" s="118" t="n"/>
      <c r="AU36" s="119" t="n"/>
      <c r="AV36" s="118" t="n"/>
      <c r="AW36" s="119" t="n"/>
      <c r="AX36" s="118" t="n"/>
      <c r="AY36" s="119" t="n"/>
      <c r="AZ36" s="118" t="n"/>
      <c r="BA36" s="119" t="n"/>
      <c r="BB36" s="118" t="n"/>
      <c r="BC36" s="119" t="n"/>
      <c r="BD36" s="118" t="n"/>
      <c r="BE36" s="119" t="n"/>
      <c r="BF36" s="118" t="n"/>
      <c r="BG36" s="119" t="n"/>
      <c r="BH36" s="118" t="n"/>
      <c r="BI36" s="119" t="n"/>
      <c r="BJ36" s="118" t="n"/>
    </row>
    <row r="37" ht="18" customHeight="1">
      <c r="A37" s="130" t="n">
        <v>33</v>
      </c>
      <c r="B37" s="131" t="inlineStr">
        <is>
          <t>6.3</t>
        </is>
      </c>
      <c r="C37" s="131" t="inlineStr">
        <is>
          <t xml:space="preserve">  ◆ Go Live</t>
        </is>
      </c>
      <c r="D37" s="132" t="inlineStr">
        <is>
          <t>Milestone</t>
        </is>
      </c>
      <c r="E37" s="131" t="inlineStr">
        <is>
          <t>Planned</t>
        </is>
      </c>
      <c r="F37" s="133" t="n">
        <v>45831</v>
      </c>
      <c r="G37" s="133" t="n">
        <v>45831</v>
      </c>
      <c r="H37" s="130" t="n">
        <v>1</v>
      </c>
      <c r="I37" s="134" t="n">
        <v>0</v>
      </c>
      <c r="J37" s="131" t="inlineStr">
        <is>
          <t>R01</t>
        </is>
      </c>
      <c r="K37" s="119" t="n"/>
      <c r="L37" s="118" t="n"/>
      <c r="M37" s="119" t="n"/>
      <c r="N37" s="118" t="n"/>
      <c r="O37" s="119" t="n"/>
      <c r="P37" s="118" t="n"/>
      <c r="Q37" s="119" t="n"/>
      <c r="R37" s="118" t="n"/>
      <c r="S37" s="119" t="n"/>
      <c r="T37" s="118" t="n"/>
      <c r="U37" s="119" t="n"/>
      <c r="V37" s="118" t="n"/>
      <c r="W37" s="119" t="n"/>
      <c r="X37" s="118" t="n"/>
      <c r="Y37" s="119" t="n"/>
      <c r="Z37" s="118" t="n"/>
      <c r="AA37" s="119" t="n"/>
      <c r="AB37" s="118" t="n"/>
      <c r="AC37" s="119" t="n"/>
      <c r="AD37" s="118" t="n"/>
      <c r="AE37" s="119" t="n"/>
      <c r="AF37" s="118" t="n"/>
      <c r="AG37" s="119" t="n"/>
      <c r="AH37" s="118" t="n"/>
      <c r="AI37" s="135" t="inlineStr">
        <is>
          <t>◆</t>
        </is>
      </c>
      <c r="AJ37" s="118" t="n"/>
      <c r="AK37" s="119" t="n"/>
      <c r="AL37" s="118" t="n"/>
      <c r="AM37" s="119" t="n"/>
      <c r="AN37" s="118" t="n"/>
      <c r="AO37" s="119" t="n"/>
      <c r="AP37" s="118" t="n"/>
      <c r="AQ37" s="119" t="n"/>
      <c r="AR37" s="118" t="n"/>
      <c r="AS37" s="119" t="n"/>
      <c r="AT37" s="118" t="n"/>
      <c r="AU37" s="119" t="n"/>
      <c r="AV37" s="118" t="n"/>
      <c r="AW37" s="119" t="n"/>
      <c r="AX37" s="118" t="n"/>
      <c r="AY37" s="119" t="n"/>
      <c r="AZ37" s="118" t="n"/>
      <c r="BA37" s="119" t="n"/>
      <c r="BB37" s="118" t="n"/>
      <c r="BC37" s="119" t="n"/>
      <c r="BD37" s="118" t="n"/>
      <c r="BE37" s="119" t="n"/>
      <c r="BF37" s="118" t="n"/>
      <c r="BG37" s="119" t="n"/>
      <c r="BH37" s="118" t="n"/>
      <c r="BI37" s="119" t="n"/>
      <c r="BJ37" s="118" t="n"/>
    </row>
    <row r="38" ht="18" customHeight="1">
      <c r="A38" s="120" t="n">
        <v>34</v>
      </c>
      <c r="B38" s="121" t="inlineStr">
        <is>
          <t>7</t>
        </is>
      </c>
      <c r="C38" s="121" t="inlineStr">
        <is>
          <t>Post-Launch Support</t>
        </is>
      </c>
      <c r="D38" s="121" t="inlineStr">
        <is>
          <t>Feature</t>
        </is>
      </c>
      <c r="E38" s="121" t="inlineStr">
        <is>
          <t>Planned</t>
        </is>
      </c>
      <c r="F38" s="122" t="n">
        <v>45832</v>
      </c>
      <c r="G38" s="122" t="n">
        <v>45845</v>
      </c>
      <c r="H38" s="120" t="n">
        <v>14</v>
      </c>
      <c r="I38" s="123" t="n">
        <v>0</v>
      </c>
      <c r="J38" s="121" t="inlineStr">
        <is>
          <t>R02, R04</t>
        </is>
      </c>
      <c r="K38" s="119" t="n"/>
      <c r="L38" s="118" t="n"/>
      <c r="M38" s="119" t="n"/>
      <c r="N38" s="118" t="n"/>
      <c r="O38" s="119" t="n"/>
      <c r="P38" s="118" t="n"/>
      <c r="Q38" s="119" t="n"/>
      <c r="R38" s="118" t="n"/>
      <c r="S38" s="119" t="n"/>
      <c r="T38" s="118" t="n"/>
      <c r="U38" s="119" t="n"/>
      <c r="V38" s="118" t="n"/>
      <c r="W38" s="119" t="n"/>
      <c r="X38" s="118" t="n"/>
      <c r="Y38" s="119" t="n"/>
      <c r="Z38" s="118" t="n"/>
      <c r="AA38" s="119" t="n"/>
      <c r="AB38" s="118" t="n"/>
      <c r="AC38" s="119" t="n"/>
      <c r="AD38" s="118" t="n"/>
      <c r="AE38" s="119" t="n"/>
      <c r="AF38" s="118" t="n"/>
      <c r="AG38" s="119" t="n"/>
      <c r="AH38" s="118" t="n"/>
      <c r="AI38" s="138" t="n"/>
      <c r="AJ38" s="139" t="n"/>
      <c r="AK38" s="139" t="n"/>
      <c r="AL38" s="118" t="n"/>
      <c r="AM38" s="119" t="n"/>
      <c r="AN38" s="118" t="n"/>
      <c r="AO38" s="119" t="n"/>
      <c r="AP38" s="118" t="n"/>
      <c r="AQ38" s="119" t="n"/>
      <c r="AR38" s="118" t="n"/>
      <c r="AS38" s="119" t="n"/>
      <c r="AT38" s="118" t="n"/>
      <c r="AU38" s="119" t="n"/>
      <c r="AV38" s="118" t="n"/>
      <c r="AW38" s="119" t="n"/>
      <c r="AX38" s="118" t="n"/>
      <c r="AY38" s="119" t="n"/>
      <c r="AZ38" s="118" t="n"/>
      <c r="BA38" s="119" t="n"/>
      <c r="BB38" s="118" t="n"/>
      <c r="BC38" s="119" t="n"/>
      <c r="BD38" s="118" t="n"/>
      <c r="BE38" s="119" t="n"/>
      <c r="BF38" s="118" t="n"/>
      <c r="BG38" s="119" t="n"/>
      <c r="BH38" s="118" t="n"/>
      <c r="BI38" s="119" t="n"/>
      <c r="BJ38" s="118" t="n"/>
    </row>
    <row r="39" ht="18" customHeight="1">
      <c r="A39" s="142" t="n">
        <v>35</v>
      </c>
      <c r="B39" s="143" t="inlineStr">
        <is>
          <t>7.1</t>
        </is>
      </c>
      <c r="C39" s="143" t="inlineStr">
        <is>
          <t xml:space="preserve">  ★ Project Closure Report</t>
        </is>
      </c>
      <c r="D39" s="144" t="inlineStr">
        <is>
          <t>Deliverable</t>
        </is>
      </c>
      <c r="E39" s="143" t="inlineStr">
        <is>
          <t>Planned</t>
        </is>
      </c>
      <c r="F39" s="145" t="n">
        <v>45846</v>
      </c>
      <c r="G39" s="145" t="n">
        <v>45852</v>
      </c>
      <c r="H39" s="142" t="n">
        <v>7</v>
      </c>
      <c r="I39" s="146" t="n">
        <v>0</v>
      </c>
      <c r="J39" s="143" t="inlineStr">
        <is>
          <t>R01, R05</t>
        </is>
      </c>
      <c r="K39" s="119" t="n"/>
      <c r="L39" s="118" t="n"/>
      <c r="M39" s="119" t="n"/>
      <c r="N39" s="118" t="n"/>
      <c r="O39" s="119" t="n"/>
      <c r="P39" s="118" t="n"/>
      <c r="Q39" s="119" t="n"/>
      <c r="R39" s="118" t="n"/>
      <c r="S39" s="119" t="n"/>
      <c r="T39" s="118" t="n"/>
      <c r="U39" s="119" t="n"/>
      <c r="V39" s="118" t="n"/>
      <c r="W39" s="119" t="n"/>
      <c r="X39" s="118" t="n"/>
      <c r="Y39" s="119" t="n"/>
      <c r="Z39" s="118" t="n"/>
      <c r="AA39" s="119" t="n"/>
      <c r="AB39" s="118" t="n"/>
      <c r="AC39" s="119" t="n"/>
      <c r="AD39" s="118" t="n"/>
      <c r="AE39" s="119" t="n"/>
      <c r="AF39" s="118" t="n"/>
      <c r="AG39" s="119" t="n"/>
      <c r="AH39" s="118" t="n"/>
      <c r="AI39" s="119" t="n"/>
      <c r="AJ39" s="118" t="n"/>
      <c r="AK39" s="147" t="inlineStr">
        <is>
          <t>★</t>
        </is>
      </c>
      <c r="AL39" s="147" t="inlineStr">
        <is>
          <t>★</t>
        </is>
      </c>
      <c r="AM39" s="119" t="n"/>
      <c r="AN39" s="118" t="n"/>
      <c r="AO39" s="119" t="n"/>
      <c r="AP39" s="118" t="n"/>
      <c r="AQ39" s="119" t="n"/>
      <c r="AR39" s="118" t="n"/>
      <c r="AS39" s="119" t="n"/>
      <c r="AT39" s="118" t="n"/>
      <c r="AU39" s="119" t="n"/>
      <c r="AV39" s="118" t="n"/>
      <c r="AW39" s="119" t="n"/>
      <c r="AX39" s="118" t="n"/>
      <c r="AY39" s="119" t="n"/>
      <c r="AZ39" s="118" t="n"/>
      <c r="BA39" s="119" t="n"/>
      <c r="BB39" s="118" t="n"/>
      <c r="BC39" s="119" t="n"/>
      <c r="BD39" s="118" t="n"/>
      <c r="BE39" s="119" t="n"/>
      <c r="BF39" s="118" t="n"/>
      <c r="BG39" s="119" t="n"/>
      <c r="BH39" s="118" t="n"/>
      <c r="BI39" s="119" t="n"/>
      <c r="BJ39" s="118" t="n"/>
    </row>
  </sheetData>
  <mergeCells count="18">
    <mergeCell ref="A2:B2"/>
    <mergeCell ref="C2:D2"/>
    <mergeCell ref="X3:AA3"/>
    <mergeCell ref="G2:H2"/>
    <mergeCell ref="E2:F2"/>
    <mergeCell ref="K3:N3"/>
    <mergeCell ref="I2:J2"/>
    <mergeCell ref="AB3:AE3"/>
    <mergeCell ref="O3:R3"/>
    <mergeCell ref="AF3:AJ3"/>
    <mergeCell ref="AK3:AN3"/>
    <mergeCell ref="AS3:AW3"/>
    <mergeCell ref="AX3:BA3"/>
    <mergeCell ref="AO3:AR3"/>
    <mergeCell ref="BB3:BE3"/>
    <mergeCell ref="A1:BJ1"/>
    <mergeCell ref="BF3:BJ3"/>
    <mergeCell ref="S3:W3"/>
  </mergeCells>
  <conditionalFormatting sqref="E5:E39">
    <cfRule type="expression" priority="1" dxfId="9">
      <formula>$E5="Not Started"</formula>
    </cfRule>
    <cfRule type="expression" priority="2" dxfId="10">
      <formula>$E5="Planned"</formula>
    </cfRule>
    <cfRule type="expression" priority="3" dxfId="11">
      <formula>$E5="In Progress"</formula>
    </cfRule>
    <cfRule type="expression" priority="4" dxfId="12">
      <formula>$E5="Completed"</formula>
    </cfRule>
    <cfRule type="expression" priority="5" dxfId="13">
      <formula>$E5="Delayed"</formula>
    </cfRule>
    <cfRule type="expression" priority="6" dxfId="14">
      <formula>$E5="On Hold"</formula>
    </cfRule>
    <cfRule type="expression" priority="7" dxfId="15">
      <formula>$E5="Cancelled"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48" t="inlineStr">
        <is>
          <t>📊  RESOURCE ALLOCATION MATRIX</t>
        </is>
      </c>
    </row>
    <row r="2" ht="18" customHeight="1">
      <c r="A2" s="149" t="inlineStr">
        <is>
          <t>Allocation % per resource per task.  Column total &gt; 100% = over-allocated (red).  All resource names sourced from RESOURCES sheet.</t>
        </is>
      </c>
    </row>
    <row r="4" ht="22" customHeight="1">
      <c r="A4" s="150" t="inlineStr">
        <is>
          <t>ID</t>
        </is>
      </c>
      <c r="B4" s="150" t="inlineStr">
        <is>
          <t>WBS</t>
        </is>
      </c>
      <c r="C4" s="150" t="inlineStr">
        <is>
          <t>Task Name</t>
        </is>
      </c>
      <c r="D4" s="150" t="inlineStr">
        <is>
          <t>Type</t>
        </is>
      </c>
      <c r="E4" s="150" t="inlineStr">
        <is>
          <t>Alice</t>
        </is>
      </c>
      <c r="F4" s="150" t="inlineStr">
        <is>
          <t>Bob</t>
        </is>
      </c>
      <c r="G4" s="150" t="inlineStr">
        <is>
          <t>Carol</t>
        </is>
      </c>
      <c r="H4" s="150" t="inlineStr">
        <is>
          <t>David</t>
        </is>
      </c>
      <c r="I4" s="150" t="inlineStr">
        <is>
          <t>Eve</t>
        </is>
      </c>
      <c r="J4" s="150" t="inlineStr">
        <is>
          <t>Frank</t>
        </is>
      </c>
      <c r="K4" s="150" t="inlineStr">
        <is>
          <t>Grace</t>
        </is>
      </c>
      <c r="L4" s="150" t="inlineStr">
        <is>
          <t>Henry</t>
        </is>
      </c>
      <c r="M4" s="150" t="inlineStr">
        <is>
          <t>Task
Total</t>
        </is>
      </c>
    </row>
    <row r="5" ht="16" customHeight="1">
      <c r="E5" s="151" t="inlineStr">
        <is>
          <t>R01</t>
        </is>
      </c>
      <c r="F5" s="151" t="inlineStr">
        <is>
          <t>R02</t>
        </is>
      </c>
      <c r="G5" s="151" t="inlineStr">
        <is>
          <t>R03</t>
        </is>
      </c>
      <c r="H5" s="151" t="inlineStr">
        <is>
          <t>R04</t>
        </is>
      </c>
      <c r="I5" s="151" t="inlineStr">
        <is>
          <t>R05</t>
        </is>
      </c>
      <c r="J5" s="151" t="inlineStr">
        <is>
          <t>R06</t>
        </is>
      </c>
      <c r="K5" s="151" t="inlineStr">
        <is>
          <t>R07</t>
        </is>
      </c>
      <c r="L5" s="151" t="inlineStr">
        <is>
          <t>R08</t>
        </is>
      </c>
    </row>
    <row r="6" ht="15" customHeight="1">
      <c r="A6" s="152" t="n">
        <v>1</v>
      </c>
      <c r="B6" s="153" t="inlineStr">
        <is>
          <t>1</t>
        </is>
      </c>
      <c r="C6" s="153" t="inlineStr">
        <is>
          <t>Project Kickoff</t>
        </is>
      </c>
      <c r="D6" s="153" t="inlineStr">
        <is>
          <t>Epic</t>
        </is>
      </c>
      <c r="E6" s="154" t="n">
        <v>0.8</v>
      </c>
      <c r="F6" s="152" t="n"/>
      <c r="G6" s="152" t="n"/>
      <c r="H6" s="152" t="n"/>
      <c r="I6" s="154" t="n">
        <v>0.2</v>
      </c>
      <c r="J6" s="152" t="n"/>
      <c r="K6" s="152" t="n"/>
      <c r="L6" s="152" t="n"/>
      <c r="M6" s="155">
        <f>SUM(E6,I6)</f>
        <v/>
      </c>
    </row>
    <row r="7" ht="15" customHeight="1">
      <c r="A7" s="156" t="n">
        <v>2</v>
      </c>
      <c r="B7" s="157" t="inlineStr">
        <is>
          <t>1.1</t>
        </is>
      </c>
      <c r="C7" s="157" t="inlineStr">
        <is>
          <t>Requirements Gathering</t>
        </is>
      </c>
      <c r="D7" s="157" t="inlineStr">
        <is>
          <t>Feature</t>
        </is>
      </c>
      <c r="E7" s="154" t="n">
        <v>0.8</v>
      </c>
      <c r="F7" s="156" t="n"/>
      <c r="G7" s="156" t="n"/>
      <c r="H7" s="156" t="n"/>
      <c r="I7" s="154" t="n">
        <v>0.2</v>
      </c>
      <c r="J7" s="156" t="n"/>
      <c r="K7" s="156" t="n"/>
      <c r="L7" s="156" t="n"/>
      <c r="M7" s="155">
        <f>SUM(E7,I7)</f>
        <v/>
      </c>
    </row>
    <row r="8" ht="15" customHeight="1">
      <c r="A8" s="158" t="n">
        <v>3</v>
      </c>
      <c r="B8" s="159" t="inlineStr">
        <is>
          <t>1.1.1</t>
        </is>
      </c>
      <c r="C8" s="159" t="inlineStr">
        <is>
          <t>Stakeholder Interviews</t>
        </is>
      </c>
      <c r="D8" s="159" t="inlineStr">
        <is>
          <t>Task</t>
        </is>
      </c>
      <c r="E8" s="154" t="n">
        <v>0.8</v>
      </c>
      <c r="F8" s="158" t="n"/>
      <c r="G8" s="158" t="n"/>
      <c r="H8" s="158" t="n"/>
      <c r="I8" s="158" t="n"/>
      <c r="J8" s="158" t="n"/>
      <c r="K8" s="158" t="n"/>
      <c r="L8" s="158" t="n"/>
      <c r="M8" s="155">
        <f>SUM(E8)</f>
        <v/>
      </c>
    </row>
    <row r="9" ht="15" customHeight="1">
      <c r="A9" s="156" t="n">
        <v>4</v>
      </c>
      <c r="B9" s="157" t="inlineStr">
        <is>
          <t>1.1.2</t>
        </is>
      </c>
      <c r="C9" s="157" t="inlineStr">
        <is>
          <t>Document Requirements</t>
        </is>
      </c>
      <c r="D9" s="157" t="inlineStr">
        <is>
          <t>Task</t>
        </is>
      </c>
      <c r="E9" s="156" t="n"/>
      <c r="F9" s="156" t="n"/>
      <c r="G9" s="156" t="n"/>
      <c r="H9" s="156" t="n"/>
      <c r="I9" s="154" t="n">
        <v>0.8</v>
      </c>
      <c r="J9" s="156" t="n"/>
      <c r="K9" s="156" t="n"/>
      <c r="L9" s="156" t="n"/>
      <c r="M9" s="155">
        <f>SUM(I9)</f>
        <v/>
      </c>
    </row>
    <row r="10" ht="15" customHeight="1">
      <c r="A10" s="160" t="n">
        <v>5</v>
      </c>
      <c r="B10" s="161" t="inlineStr">
        <is>
          <t>1.2</t>
        </is>
      </c>
      <c r="C10" s="161" t="inlineStr">
        <is>
          <t>Requirements Sign-off</t>
        </is>
      </c>
      <c r="D10" s="161" t="inlineStr">
        <is>
          <t>Milestone</t>
        </is>
      </c>
      <c r="E10" s="154" t="n">
        <v>0.8</v>
      </c>
      <c r="F10" s="160" t="n"/>
      <c r="G10" s="160" t="n"/>
      <c r="H10" s="160" t="n"/>
      <c r="I10" s="160" t="n"/>
      <c r="J10" s="160" t="n"/>
      <c r="K10" s="160" t="n"/>
      <c r="L10" s="160" t="n"/>
      <c r="M10" s="155">
        <f>SUM(E10)</f>
        <v/>
      </c>
    </row>
    <row r="11" ht="15" customHeight="1">
      <c r="A11" s="156" t="n">
        <v>6</v>
      </c>
      <c r="B11" s="157" t="inlineStr">
        <is>
          <t>2</t>
        </is>
      </c>
      <c r="C11" s="157" t="inlineStr">
        <is>
          <t>Design Phase</t>
        </is>
      </c>
      <c r="D11" s="157" t="inlineStr">
        <is>
          <t>Epic</t>
        </is>
      </c>
      <c r="E11" s="156" t="n"/>
      <c r="F11" s="156" t="n"/>
      <c r="G11" s="154" t="n">
        <v>0.8</v>
      </c>
      <c r="H11" s="156" t="n"/>
      <c r="I11" s="154" t="n">
        <v>0.2</v>
      </c>
      <c r="J11" s="156" t="n"/>
      <c r="K11" s="156" t="n"/>
      <c r="L11" s="156" t="n"/>
      <c r="M11" s="155">
        <f>SUM(G11,I11)</f>
        <v/>
      </c>
    </row>
    <row r="12" ht="15" customHeight="1">
      <c r="A12" s="162" t="n">
        <v>7</v>
      </c>
      <c r="B12" s="163" t="inlineStr">
        <is>
          <t>2.1</t>
        </is>
      </c>
      <c r="C12" s="163" t="inlineStr">
        <is>
          <t>UI/UX Design</t>
        </is>
      </c>
      <c r="D12" s="163" t="inlineStr">
        <is>
          <t>Feature</t>
        </is>
      </c>
      <c r="E12" s="162" t="n"/>
      <c r="F12" s="162" t="n"/>
      <c r="G12" s="154" t="n">
        <v>0.8</v>
      </c>
      <c r="H12" s="162" t="n"/>
      <c r="I12" s="162" t="n"/>
      <c r="J12" s="162" t="n"/>
      <c r="K12" s="162" t="n"/>
      <c r="L12" s="162" t="n"/>
      <c r="M12" s="155">
        <f>SUM(G12)</f>
        <v/>
      </c>
    </row>
    <row r="13" ht="15" customHeight="1">
      <c r="A13" s="156" t="n">
        <v>8</v>
      </c>
      <c r="B13" s="157" t="inlineStr">
        <is>
          <t>2.1.1</t>
        </is>
      </c>
      <c r="C13" s="157" t="inlineStr">
        <is>
          <t>Wireframes</t>
        </is>
      </c>
      <c r="D13" s="157" t="inlineStr">
        <is>
          <t>Task</t>
        </is>
      </c>
      <c r="E13" s="156" t="n"/>
      <c r="F13" s="156" t="n"/>
      <c r="G13" s="154" t="n">
        <v>0.8</v>
      </c>
      <c r="H13" s="156" t="n"/>
      <c r="I13" s="156" t="n"/>
      <c r="J13" s="156" t="n"/>
      <c r="K13" s="156" t="n"/>
      <c r="L13" s="156" t="n"/>
      <c r="M13" s="155">
        <f>SUM(G13)</f>
        <v/>
      </c>
    </row>
    <row r="14" ht="15" customHeight="1">
      <c r="A14" s="158" t="n">
        <v>9</v>
      </c>
      <c r="B14" s="159" t="inlineStr">
        <is>
          <t>2.1.2</t>
        </is>
      </c>
      <c r="C14" s="159" t="inlineStr">
        <is>
          <t>Prototypes</t>
        </is>
      </c>
      <c r="D14" s="159" t="inlineStr">
        <is>
          <t>Task</t>
        </is>
      </c>
      <c r="E14" s="158" t="n"/>
      <c r="F14" s="158" t="n"/>
      <c r="G14" s="154" t="n">
        <v>0.8</v>
      </c>
      <c r="H14" s="158" t="n"/>
      <c r="I14" s="158" t="n"/>
      <c r="J14" s="158" t="n"/>
      <c r="K14" s="158" t="n"/>
      <c r="L14" s="158" t="n"/>
      <c r="M14" s="155">
        <f>SUM(G14)</f>
        <v/>
      </c>
    </row>
    <row r="15" ht="15" customHeight="1">
      <c r="A15" s="156" t="n">
        <v>10</v>
      </c>
      <c r="B15" s="157" t="inlineStr">
        <is>
          <t>2.2</t>
        </is>
      </c>
      <c r="C15" s="157" t="inlineStr">
        <is>
          <t>Architecture Design</t>
        </is>
      </c>
      <c r="D15" s="157" t="inlineStr">
        <is>
          <t>Feature</t>
        </is>
      </c>
      <c r="E15" s="156" t="n"/>
      <c r="F15" s="154" t="n">
        <v>0.8</v>
      </c>
      <c r="G15" s="156" t="n"/>
      <c r="H15" s="156" t="n"/>
      <c r="I15" s="156" t="n"/>
      <c r="J15" s="154" t="n">
        <v>0.2</v>
      </c>
      <c r="K15" s="156" t="n"/>
      <c r="L15" s="156" t="n"/>
      <c r="M15" s="155">
        <f>SUM(F15,J15)</f>
        <v/>
      </c>
    </row>
    <row r="16" ht="15" customHeight="1">
      <c r="A16" s="160" t="n">
        <v>11</v>
      </c>
      <c r="B16" s="161" t="inlineStr">
        <is>
          <t>2.3</t>
        </is>
      </c>
      <c r="C16" s="161" t="inlineStr">
        <is>
          <t>Design Review</t>
        </is>
      </c>
      <c r="D16" s="161" t="inlineStr">
        <is>
          <t>Milestone</t>
        </is>
      </c>
      <c r="E16" s="154" t="n">
        <v>0.8</v>
      </c>
      <c r="F16" s="160" t="n"/>
      <c r="G16" s="160" t="n"/>
      <c r="H16" s="160" t="n"/>
      <c r="I16" s="160" t="n"/>
      <c r="J16" s="160" t="n"/>
      <c r="K16" s="160" t="n"/>
      <c r="L16" s="160" t="n"/>
      <c r="M16" s="155">
        <f>SUM(E16)</f>
        <v/>
      </c>
    </row>
    <row r="17" ht="15" customHeight="1">
      <c r="A17" s="156" t="n">
        <v>12</v>
      </c>
      <c r="B17" s="157" t="inlineStr">
        <is>
          <t>3</t>
        </is>
      </c>
      <c r="C17" s="157" t="inlineStr">
        <is>
          <t>Development Sprint 1</t>
        </is>
      </c>
      <c r="D17" s="157" t="inlineStr">
        <is>
          <t>Epic</t>
        </is>
      </c>
      <c r="E17" s="156" t="n"/>
      <c r="F17" s="154" t="n">
        <v>0.8</v>
      </c>
      <c r="G17" s="156" t="n"/>
      <c r="H17" s="156" t="n"/>
      <c r="I17" s="156" t="n"/>
      <c r="J17" s="154" t="n">
        <v>0.2</v>
      </c>
      <c r="K17" s="154" t="n">
        <v>0.2</v>
      </c>
      <c r="L17" s="156" t="n"/>
      <c r="M17" s="155">
        <f>SUM(F17,J17,K17)</f>
        <v/>
      </c>
    </row>
    <row r="18" ht="15" customHeight="1">
      <c r="A18" s="162" t="n">
        <v>13</v>
      </c>
      <c r="B18" s="163" t="inlineStr">
        <is>
          <t>3.1</t>
        </is>
      </c>
      <c r="C18" s="163" t="inlineStr">
        <is>
          <t>Backend API Development</t>
        </is>
      </c>
      <c r="D18" s="163" t="inlineStr">
        <is>
          <t>Feature</t>
        </is>
      </c>
      <c r="E18" s="162" t="n"/>
      <c r="F18" s="154" t="n">
        <v>0.8</v>
      </c>
      <c r="G18" s="162" t="n"/>
      <c r="H18" s="162" t="n"/>
      <c r="I18" s="162" t="n"/>
      <c r="J18" s="154" t="n">
        <v>0.2</v>
      </c>
      <c r="K18" s="162" t="n"/>
      <c r="L18" s="162" t="n"/>
      <c r="M18" s="155">
        <f>SUM(F18,J18)</f>
        <v/>
      </c>
    </row>
    <row r="19" ht="15" customHeight="1">
      <c r="A19" s="156" t="n">
        <v>14</v>
      </c>
      <c r="B19" s="157" t="inlineStr">
        <is>
          <t>3.1.1</t>
        </is>
      </c>
      <c r="C19" s="157" t="inlineStr">
        <is>
          <t>User Authentication</t>
        </is>
      </c>
      <c r="D19" s="157" t="inlineStr">
        <is>
          <t>Task</t>
        </is>
      </c>
      <c r="E19" s="156" t="n"/>
      <c r="F19" s="156" t="n"/>
      <c r="G19" s="156" t="n"/>
      <c r="H19" s="156" t="n"/>
      <c r="I19" s="156" t="n"/>
      <c r="J19" s="154" t="n">
        <v>0.8</v>
      </c>
      <c r="K19" s="156" t="n"/>
      <c r="L19" s="156" t="n"/>
      <c r="M19" s="155">
        <f>SUM(J19)</f>
        <v/>
      </c>
    </row>
    <row r="20" ht="15" customHeight="1">
      <c r="A20" s="158" t="n">
        <v>15</v>
      </c>
      <c r="B20" s="159" t="inlineStr">
        <is>
          <t>3.1.2</t>
        </is>
      </c>
      <c r="C20" s="159" t="inlineStr">
        <is>
          <t>Data Models</t>
        </is>
      </c>
      <c r="D20" s="159" t="inlineStr">
        <is>
          <t>Task</t>
        </is>
      </c>
      <c r="E20" s="158" t="n"/>
      <c r="F20" s="154" t="n">
        <v>0.8</v>
      </c>
      <c r="G20" s="158" t="n"/>
      <c r="H20" s="158" t="n"/>
      <c r="I20" s="158" t="n"/>
      <c r="J20" s="158" t="n"/>
      <c r="K20" s="158" t="n"/>
      <c r="L20" s="158" t="n"/>
      <c r="M20" s="155">
        <f>SUM(F20)</f>
        <v/>
      </c>
    </row>
    <row r="21" ht="15" customHeight="1">
      <c r="A21" s="156" t="n">
        <v>16</v>
      </c>
      <c r="B21" s="157" t="inlineStr">
        <is>
          <t>3.1.3</t>
        </is>
      </c>
      <c r="C21" s="157" t="inlineStr">
        <is>
          <t>REST API Endpoints</t>
        </is>
      </c>
      <c r="D21" s="157" t="inlineStr">
        <is>
          <t>Task</t>
        </is>
      </c>
      <c r="E21" s="156" t="n"/>
      <c r="F21" s="154" t="n">
        <v>0.8</v>
      </c>
      <c r="G21" s="156" t="n"/>
      <c r="H21" s="156" t="n"/>
      <c r="I21" s="156" t="n"/>
      <c r="J21" s="154" t="n">
        <v>0.2</v>
      </c>
      <c r="K21" s="156" t="n"/>
      <c r="L21" s="156" t="n"/>
      <c r="M21" s="155">
        <f>SUM(F21,J21)</f>
        <v/>
      </c>
    </row>
    <row r="22" ht="15" customHeight="1">
      <c r="A22" s="162" t="n">
        <v>17</v>
      </c>
      <c r="B22" s="163" t="inlineStr">
        <is>
          <t>3.2</t>
        </is>
      </c>
      <c r="C22" s="163" t="inlineStr">
        <is>
          <t>Frontend Development</t>
        </is>
      </c>
      <c r="D22" s="163" t="inlineStr">
        <is>
          <t>Feature</t>
        </is>
      </c>
      <c r="E22" s="162" t="n"/>
      <c r="F22" s="162" t="n"/>
      <c r="G22" s="162" t="n"/>
      <c r="H22" s="162" t="n"/>
      <c r="I22" s="162" t="n"/>
      <c r="J22" s="162" t="n"/>
      <c r="K22" s="154" t="n">
        <v>0.8</v>
      </c>
      <c r="L22" s="162" t="n"/>
      <c r="M22" s="155">
        <f>SUM(K22)</f>
        <v/>
      </c>
    </row>
    <row r="23" ht="15" customHeight="1">
      <c r="A23" s="156" t="n">
        <v>18</v>
      </c>
      <c r="B23" s="157" t="inlineStr">
        <is>
          <t>3.2.1</t>
        </is>
      </c>
      <c r="C23" s="157" t="inlineStr">
        <is>
          <t>Component Library</t>
        </is>
      </c>
      <c r="D23" s="157" t="inlineStr">
        <is>
          <t>Task</t>
        </is>
      </c>
      <c r="E23" s="156" t="n"/>
      <c r="F23" s="156" t="n"/>
      <c r="G23" s="156" t="n"/>
      <c r="H23" s="156" t="n"/>
      <c r="I23" s="156" t="n"/>
      <c r="J23" s="156" t="n"/>
      <c r="K23" s="154" t="n">
        <v>0.8</v>
      </c>
      <c r="L23" s="156" t="n"/>
      <c r="M23" s="155">
        <f>SUM(K23)</f>
        <v/>
      </c>
    </row>
    <row r="24" ht="15" customHeight="1">
      <c r="A24" s="158" t="n">
        <v>19</v>
      </c>
      <c r="B24" s="159" t="inlineStr">
        <is>
          <t>3.2.2</t>
        </is>
      </c>
      <c r="C24" s="159" t="inlineStr">
        <is>
          <t>Dashboard Views</t>
        </is>
      </c>
      <c r="D24" s="159" t="inlineStr">
        <is>
          <t>Task</t>
        </is>
      </c>
      <c r="E24" s="158" t="n"/>
      <c r="F24" s="158" t="n"/>
      <c r="G24" s="158" t="n"/>
      <c r="H24" s="158" t="n"/>
      <c r="I24" s="158" t="n"/>
      <c r="J24" s="158" t="n"/>
      <c r="K24" s="154" t="n">
        <v>0.8</v>
      </c>
      <c r="L24" s="158" t="n"/>
      <c r="M24" s="155">
        <f>SUM(K24)</f>
        <v/>
      </c>
    </row>
    <row r="25" ht="15" customHeight="1">
      <c r="A25" s="156" t="n">
        <v>20</v>
      </c>
      <c r="B25" s="157" t="inlineStr">
        <is>
          <t>3.3</t>
        </is>
      </c>
      <c r="C25" s="157" t="inlineStr">
        <is>
          <t>Sprint 1 Review</t>
        </is>
      </c>
      <c r="D25" s="157" t="inlineStr">
        <is>
          <t>Milestone</t>
        </is>
      </c>
      <c r="E25" s="154" t="n">
        <v>0.8</v>
      </c>
      <c r="F25" s="156" t="n"/>
      <c r="G25" s="156" t="n"/>
      <c r="H25" s="156" t="n"/>
      <c r="I25" s="156" t="n"/>
      <c r="J25" s="156" t="n"/>
      <c r="K25" s="156" t="n"/>
      <c r="L25" s="156" t="n"/>
      <c r="M25" s="155">
        <f>SUM(E25)</f>
        <v/>
      </c>
    </row>
    <row r="26" ht="15" customHeight="1">
      <c r="A26" s="152" t="n">
        <v>21</v>
      </c>
      <c r="B26" s="153" t="inlineStr">
        <is>
          <t>4</t>
        </is>
      </c>
      <c r="C26" s="153" t="inlineStr">
        <is>
          <t>Development Sprint 2</t>
        </is>
      </c>
      <c r="D26" s="153" t="inlineStr">
        <is>
          <t>Epic</t>
        </is>
      </c>
      <c r="E26" s="152" t="n"/>
      <c r="F26" s="154" t="n">
        <v>0.8</v>
      </c>
      <c r="G26" s="152" t="n"/>
      <c r="H26" s="152" t="n"/>
      <c r="I26" s="152" t="n"/>
      <c r="J26" s="154" t="n">
        <v>0.2</v>
      </c>
      <c r="K26" s="154" t="n">
        <v>0.2</v>
      </c>
      <c r="L26" s="152" t="n"/>
      <c r="M26" s="155">
        <f>SUM(F26,J26,K26)</f>
        <v/>
      </c>
    </row>
    <row r="27" ht="15" customHeight="1">
      <c r="A27" s="156" t="n">
        <v>22</v>
      </c>
      <c r="B27" s="157" t="inlineStr">
        <is>
          <t>4.1</t>
        </is>
      </c>
      <c r="C27" s="157" t="inlineStr">
        <is>
          <t>Integration Development</t>
        </is>
      </c>
      <c r="D27" s="157" t="inlineStr">
        <is>
          <t>Feature</t>
        </is>
      </c>
      <c r="E27" s="156" t="n"/>
      <c r="F27" s="154" t="n">
        <v>0.8</v>
      </c>
      <c r="G27" s="156" t="n"/>
      <c r="H27" s="156" t="n"/>
      <c r="I27" s="156" t="n"/>
      <c r="J27" s="156" t="n"/>
      <c r="K27" s="154" t="n">
        <v>0.2</v>
      </c>
      <c r="L27" s="156" t="n"/>
      <c r="M27" s="155">
        <f>SUM(F27,K27)</f>
        <v/>
      </c>
    </row>
    <row r="28" ht="15" customHeight="1">
      <c r="A28" s="162" t="n">
        <v>23</v>
      </c>
      <c r="B28" s="163" t="inlineStr">
        <is>
          <t>4.2</t>
        </is>
      </c>
      <c r="C28" s="163" t="inlineStr">
        <is>
          <t>Performance Optimization</t>
        </is>
      </c>
      <c r="D28" s="163" t="inlineStr">
        <is>
          <t>Feature</t>
        </is>
      </c>
      <c r="E28" s="162" t="n"/>
      <c r="F28" s="162" t="n"/>
      <c r="G28" s="162" t="n"/>
      <c r="H28" s="162" t="n"/>
      <c r="I28" s="162" t="n"/>
      <c r="J28" s="154" t="n">
        <v>0.8</v>
      </c>
      <c r="K28" s="162" t="n"/>
      <c r="L28" s="162" t="n"/>
      <c r="M28" s="155">
        <f>SUM(J28)</f>
        <v/>
      </c>
    </row>
    <row r="29" ht="15" customHeight="1">
      <c r="A29" s="156" t="n">
        <v>24</v>
      </c>
      <c r="B29" s="157" t="inlineStr">
        <is>
          <t>4.3</t>
        </is>
      </c>
      <c r="C29" s="157" t="inlineStr">
        <is>
          <t>Sprint 2 Deliverable</t>
        </is>
      </c>
      <c r="D29" s="157" t="inlineStr">
        <is>
          <t>Deliverable</t>
        </is>
      </c>
      <c r="E29" s="154" t="n">
        <v>0.8</v>
      </c>
      <c r="F29" s="156" t="n"/>
      <c r="G29" s="156" t="n"/>
      <c r="H29" s="156" t="n"/>
      <c r="I29" s="156" t="n"/>
      <c r="J29" s="156" t="n"/>
      <c r="K29" s="156" t="n"/>
      <c r="L29" s="156" t="n"/>
      <c r="M29" s="155">
        <f>SUM(E29)</f>
        <v/>
      </c>
    </row>
    <row r="30" ht="15" customHeight="1">
      <c r="A30" s="152" t="n">
        <v>25</v>
      </c>
      <c r="B30" s="153" t="inlineStr">
        <is>
          <t>5</t>
        </is>
      </c>
      <c r="C30" s="153" t="inlineStr">
        <is>
          <t>Testing &amp; QA</t>
        </is>
      </c>
      <c r="D30" s="153" t="inlineStr">
        <is>
          <t>Epic</t>
        </is>
      </c>
      <c r="E30" s="152" t="n"/>
      <c r="F30" s="154" t="n">
        <v>0.2</v>
      </c>
      <c r="G30" s="152" t="n"/>
      <c r="H30" s="154" t="n">
        <v>0.8</v>
      </c>
      <c r="I30" s="152" t="n"/>
      <c r="J30" s="152" t="n"/>
      <c r="K30" s="152" t="n"/>
      <c r="L30" s="152" t="n"/>
      <c r="M30" s="155">
        <f>SUM(F30,H30)</f>
        <v/>
      </c>
    </row>
    <row r="31" ht="15" customHeight="1">
      <c r="A31" s="156" t="n">
        <v>26</v>
      </c>
      <c r="B31" s="157" t="inlineStr">
        <is>
          <t>5.1</t>
        </is>
      </c>
      <c r="C31" s="157" t="inlineStr">
        <is>
          <t>Unit Testing</t>
        </is>
      </c>
      <c r="D31" s="157" t="inlineStr">
        <is>
          <t>Feature</t>
        </is>
      </c>
      <c r="E31" s="156" t="n"/>
      <c r="F31" s="154" t="n">
        <v>0.8</v>
      </c>
      <c r="G31" s="156" t="n"/>
      <c r="H31" s="156" t="n"/>
      <c r="I31" s="156" t="n"/>
      <c r="J31" s="156" t="n"/>
      <c r="K31" s="156" t="n"/>
      <c r="L31" s="156" t="n"/>
      <c r="M31" s="155">
        <f>SUM(F31)</f>
        <v/>
      </c>
    </row>
    <row r="32" ht="15" customHeight="1">
      <c r="A32" s="162" t="n">
        <v>27</v>
      </c>
      <c r="B32" s="163" t="inlineStr">
        <is>
          <t>5.2</t>
        </is>
      </c>
      <c r="C32" s="163" t="inlineStr">
        <is>
          <t>Integration Testing</t>
        </is>
      </c>
      <c r="D32" s="163" t="inlineStr">
        <is>
          <t>Feature</t>
        </is>
      </c>
      <c r="E32" s="162" t="n"/>
      <c r="F32" s="162" t="n"/>
      <c r="G32" s="162" t="n"/>
      <c r="H32" s="154" t="n">
        <v>0.8</v>
      </c>
      <c r="I32" s="162" t="n"/>
      <c r="J32" s="162" t="n"/>
      <c r="K32" s="162" t="n"/>
      <c r="L32" s="162" t="n"/>
      <c r="M32" s="155">
        <f>SUM(H32)</f>
        <v/>
      </c>
    </row>
    <row r="33" ht="15" customHeight="1">
      <c r="A33" s="156" t="n">
        <v>28</v>
      </c>
      <c r="B33" s="157" t="inlineStr">
        <is>
          <t>5.3</t>
        </is>
      </c>
      <c r="C33" s="157" t="inlineStr">
        <is>
          <t>UAT</t>
        </is>
      </c>
      <c r="D33" s="157" t="inlineStr">
        <is>
          <t>Feature</t>
        </is>
      </c>
      <c r="E33" s="154" t="n">
        <v>0.8</v>
      </c>
      <c r="F33" s="156" t="n"/>
      <c r="G33" s="156" t="n"/>
      <c r="H33" s="154" t="n">
        <v>0.2</v>
      </c>
      <c r="I33" s="154" t="n">
        <v>0.2</v>
      </c>
      <c r="J33" s="156" t="n"/>
      <c r="K33" s="156" t="n"/>
      <c r="L33" s="156" t="n"/>
      <c r="M33" s="155">
        <f>SUM(E33,H33,I33)</f>
        <v/>
      </c>
    </row>
    <row r="34" ht="15" customHeight="1">
      <c r="A34" s="160" t="n">
        <v>29</v>
      </c>
      <c r="B34" s="161" t="inlineStr">
        <is>
          <t>5.4</t>
        </is>
      </c>
      <c r="C34" s="161" t="inlineStr">
        <is>
          <t>Testing Sign-off</t>
        </is>
      </c>
      <c r="D34" s="161" t="inlineStr">
        <is>
          <t>Milestone</t>
        </is>
      </c>
      <c r="E34" s="154" t="n">
        <v>0.8</v>
      </c>
      <c r="F34" s="160" t="n"/>
      <c r="G34" s="160" t="n"/>
      <c r="H34" s="160" t="n"/>
      <c r="I34" s="160" t="n"/>
      <c r="J34" s="160" t="n"/>
      <c r="K34" s="160" t="n"/>
      <c r="L34" s="160" t="n"/>
      <c r="M34" s="155">
        <f>SUM(E34)</f>
        <v/>
      </c>
    </row>
    <row r="35" ht="15" customHeight="1">
      <c r="A35" s="156" t="n">
        <v>30</v>
      </c>
      <c r="B35" s="157" t="inlineStr">
        <is>
          <t>6</t>
        </is>
      </c>
      <c r="C35" s="157" t="inlineStr">
        <is>
          <t>Deployment</t>
        </is>
      </c>
      <c r="D35" s="157" t="inlineStr">
        <is>
          <t>Epic</t>
        </is>
      </c>
      <c r="E35" s="156" t="n"/>
      <c r="F35" s="154" t="n">
        <v>0.2</v>
      </c>
      <c r="G35" s="156" t="n"/>
      <c r="H35" s="156" t="n"/>
      <c r="I35" s="156" t="n"/>
      <c r="J35" s="156" t="n"/>
      <c r="K35" s="156" t="n"/>
      <c r="L35" s="154" t="n">
        <v>0.8</v>
      </c>
      <c r="M35" s="155">
        <f>SUM(F35,L35)</f>
        <v/>
      </c>
    </row>
    <row r="36" ht="15" customHeight="1">
      <c r="A36" s="158" t="n">
        <v>31</v>
      </c>
      <c r="B36" s="159" t="inlineStr">
        <is>
          <t>6.1</t>
        </is>
      </c>
      <c r="C36" s="159" t="inlineStr">
        <is>
          <t>Staging Deployment</t>
        </is>
      </c>
      <c r="D36" s="159" t="inlineStr">
        <is>
          <t>Task</t>
        </is>
      </c>
      <c r="E36" s="158" t="n"/>
      <c r="F36" s="158" t="n"/>
      <c r="G36" s="158" t="n"/>
      <c r="H36" s="158" t="n"/>
      <c r="I36" s="158" t="n"/>
      <c r="J36" s="158" t="n"/>
      <c r="K36" s="158" t="n"/>
      <c r="L36" s="154" t="n">
        <v>0.8</v>
      </c>
      <c r="M36" s="155">
        <f>SUM(L36)</f>
        <v/>
      </c>
    </row>
    <row r="37" ht="15" customHeight="1">
      <c r="A37" s="156" t="n">
        <v>32</v>
      </c>
      <c r="B37" s="157" t="inlineStr">
        <is>
          <t>6.2</t>
        </is>
      </c>
      <c r="C37" s="157" t="inlineStr">
        <is>
          <t>Production Deployment</t>
        </is>
      </c>
      <c r="D37" s="157" t="inlineStr">
        <is>
          <t>Deliverable</t>
        </is>
      </c>
      <c r="E37" s="154" t="n">
        <v>0.2</v>
      </c>
      <c r="F37" s="156" t="n"/>
      <c r="G37" s="156" t="n"/>
      <c r="H37" s="156" t="n"/>
      <c r="I37" s="156" t="n"/>
      <c r="J37" s="156" t="n"/>
      <c r="K37" s="156" t="n"/>
      <c r="L37" s="154" t="n">
        <v>0.8</v>
      </c>
      <c r="M37" s="155">
        <f>SUM(E37,L37)</f>
        <v/>
      </c>
    </row>
    <row r="38" ht="15" customHeight="1">
      <c r="A38" s="160" t="n">
        <v>33</v>
      </c>
      <c r="B38" s="161" t="inlineStr">
        <is>
          <t>6.3</t>
        </is>
      </c>
      <c r="C38" s="161" t="inlineStr">
        <is>
          <t>Go Live</t>
        </is>
      </c>
      <c r="D38" s="161" t="inlineStr">
        <is>
          <t>Milestone</t>
        </is>
      </c>
      <c r="E38" s="154" t="n">
        <v>0.8</v>
      </c>
      <c r="F38" s="160" t="n"/>
      <c r="G38" s="160" t="n"/>
      <c r="H38" s="160" t="n"/>
      <c r="I38" s="160" t="n"/>
      <c r="J38" s="160" t="n"/>
      <c r="K38" s="160" t="n"/>
      <c r="L38" s="160" t="n"/>
      <c r="M38" s="155">
        <f>SUM(E38)</f>
        <v/>
      </c>
    </row>
    <row r="39" ht="15" customHeight="1">
      <c r="A39" s="156" t="n">
        <v>34</v>
      </c>
      <c r="B39" s="157" t="inlineStr">
        <is>
          <t>7</t>
        </is>
      </c>
      <c r="C39" s="157" t="inlineStr">
        <is>
          <t>Post-Launch Support</t>
        </is>
      </c>
      <c r="D39" s="157" t="inlineStr">
        <is>
          <t>Feature</t>
        </is>
      </c>
      <c r="E39" s="156" t="n"/>
      <c r="F39" s="154" t="n">
        <v>0.8</v>
      </c>
      <c r="G39" s="156" t="n"/>
      <c r="H39" s="154" t="n">
        <v>0.2</v>
      </c>
      <c r="I39" s="156" t="n"/>
      <c r="J39" s="156" t="n"/>
      <c r="K39" s="156" t="n"/>
      <c r="L39" s="156" t="n"/>
      <c r="M39" s="155">
        <f>SUM(F39,H39)</f>
        <v/>
      </c>
    </row>
    <row r="40" ht="15" customHeight="1">
      <c r="A40" s="164" t="n">
        <v>35</v>
      </c>
      <c r="B40" s="165" t="inlineStr">
        <is>
          <t>7.1</t>
        </is>
      </c>
      <c r="C40" s="165" t="inlineStr">
        <is>
          <t>Project Closure Report</t>
        </is>
      </c>
      <c r="D40" s="165" t="inlineStr">
        <is>
          <t>Deliverable</t>
        </is>
      </c>
      <c r="E40" s="154" t="n">
        <v>0.8</v>
      </c>
      <c r="F40" s="164" t="n"/>
      <c r="G40" s="164" t="n"/>
      <c r="H40" s="164" t="n"/>
      <c r="I40" s="154" t="n">
        <v>0.2</v>
      </c>
      <c r="J40" s="164" t="n"/>
      <c r="K40" s="164" t="n"/>
      <c r="L40" s="164" t="n"/>
      <c r="M40" s="155">
        <f>SUM(E40,I40)</f>
        <v/>
      </c>
    </row>
    <row r="42">
      <c r="C42" s="69" t="inlineStr">
        <is>
          <t>TOTAL ALLOCATION</t>
        </is>
      </c>
      <c r="E42" s="166">
        <f>SUM(E6:E41)</f>
        <v/>
      </c>
      <c r="F42" s="166">
        <f>SUM(F6:F41)</f>
        <v/>
      </c>
      <c r="G42" s="166">
        <f>SUM(G6:G41)</f>
        <v/>
      </c>
      <c r="H42" s="166">
        <f>SUM(H6:H41)</f>
        <v/>
      </c>
      <c r="I42" s="166">
        <f>SUM(I6:I41)</f>
        <v/>
      </c>
      <c r="J42" s="166">
        <f>SUM(J6:J41)</f>
        <v/>
      </c>
      <c r="K42" s="166">
        <f>SUM(K6:K41)</f>
        <v/>
      </c>
      <c r="L42" s="166">
        <f>SUM(L6:L41)</f>
        <v/>
      </c>
    </row>
  </sheetData>
  <mergeCells count="2">
    <mergeCell ref="A1:Z1"/>
    <mergeCell ref="A2:Z2"/>
  </mergeCells>
  <conditionalFormatting sqref="E42">
    <cfRule type="expression" priority="1" dxfId="16">
      <formula>E42&gt;1</formula>
    </cfRule>
    <cfRule type="expression" priority="2" dxfId="17">
      <formula>AND(E42&gt;0,E42&lt;=1)</formula>
    </cfRule>
  </conditionalFormatting>
  <conditionalFormatting sqref="F42">
    <cfRule type="expression" priority="3" dxfId="16">
      <formula>F42&gt;1</formula>
    </cfRule>
    <cfRule type="expression" priority="4" dxfId="17">
      <formula>AND(F42&gt;0,F42&lt;=1)</formula>
    </cfRule>
  </conditionalFormatting>
  <conditionalFormatting sqref="G42">
    <cfRule type="expression" priority="5" dxfId="16">
      <formula>G42&gt;1</formula>
    </cfRule>
    <cfRule type="expression" priority="6" dxfId="17">
      <formula>AND(G42&gt;0,G42&lt;=1)</formula>
    </cfRule>
  </conditionalFormatting>
  <conditionalFormatting sqref="H42">
    <cfRule type="expression" priority="7" dxfId="16">
      <formula>H42&gt;1</formula>
    </cfRule>
    <cfRule type="expression" priority="8" dxfId="17">
      <formula>AND(H42&gt;0,H42&lt;=1)</formula>
    </cfRule>
  </conditionalFormatting>
  <conditionalFormatting sqref="I42">
    <cfRule type="expression" priority="9" dxfId="16">
      <formula>I42&gt;1</formula>
    </cfRule>
    <cfRule type="expression" priority="10" dxfId="17">
      <formula>AND(I42&gt;0,I42&lt;=1)</formula>
    </cfRule>
  </conditionalFormatting>
  <conditionalFormatting sqref="J42">
    <cfRule type="expression" priority="11" dxfId="16">
      <formula>J42&gt;1</formula>
    </cfRule>
    <cfRule type="expression" priority="12" dxfId="17">
      <formula>AND(J42&gt;0,J42&lt;=1)</formula>
    </cfRule>
  </conditionalFormatting>
  <conditionalFormatting sqref="K42">
    <cfRule type="expression" priority="13" dxfId="16">
      <formula>K42&gt;1</formula>
    </cfRule>
    <cfRule type="expression" priority="14" dxfId="17">
      <formula>AND(K42&gt;0,K42&lt;=1)</formula>
    </cfRule>
  </conditionalFormatting>
  <conditionalFormatting sqref="L42">
    <cfRule type="expression" priority="15" dxfId="16">
      <formula>L42&gt;1</formula>
    </cfRule>
    <cfRule type="expression" priority="16" dxfId="17">
      <formula>AND(L42&gt;0,L42&lt;=1)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3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</cols>
  <sheetData>
    <row r="1" ht="30" customHeight="1">
      <c r="A1" s="167" t="inlineStr">
        <is>
          <t>⏱  MONTHLY TIMESHEET</t>
        </is>
      </c>
    </row>
    <row r="2" ht="18" customHeight="1">
      <c r="A2" s="168" t="inlineStr">
        <is>
          <t>Estimated hours per resource per month, derived from allocation % × task overlap × Working Hours/Day (CONFIG!B11).</t>
        </is>
      </c>
    </row>
    <row r="3" ht="28" customHeight="1">
      <c r="A3" s="169" t="inlineStr">
        <is>
          <t>Resource</t>
        </is>
      </c>
      <c r="B3" s="169" t="inlineStr">
        <is>
          <t>Res. ID</t>
        </is>
      </c>
      <c r="C3" s="169" t="inlineStr">
        <is>
          <t>Task ID</t>
        </is>
      </c>
      <c r="D3" s="169" t="inlineStr">
        <is>
          <t>Task Name</t>
        </is>
      </c>
      <c r="E3" s="169" t="inlineStr">
        <is>
          <t>Jan
2025</t>
        </is>
      </c>
      <c r="F3" s="169" t="inlineStr">
        <is>
          <t>Feb
2025</t>
        </is>
      </c>
      <c r="G3" s="169" t="inlineStr">
        <is>
          <t>Mar
2025</t>
        </is>
      </c>
      <c r="H3" s="169" t="inlineStr">
        <is>
          <t>Apr
2025</t>
        </is>
      </c>
      <c r="I3" s="169" t="inlineStr">
        <is>
          <t>May
2025</t>
        </is>
      </c>
      <c r="J3" s="169" t="inlineStr">
        <is>
          <t>Jun
2025</t>
        </is>
      </c>
      <c r="K3" s="169" t="inlineStr">
        <is>
          <t>Jul
2025</t>
        </is>
      </c>
      <c r="L3" s="169" t="inlineStr">
        <is>
          <t>Aug
2025</t>
        </is>
      </c>
      <c r="M3" s="169" t="inlineStr">
        <is>
          <t>Sep
2025</t>
        </is>
      </c>
      <c r="N3" s="169" t="inlineStr">
        <is>
          <t>Oct
2025</t>
        </is>
      </c>
      <c r="O3" s="169" t="inlineStr">
        <is>
          <t>Nov
2025</t>
        </is>
      </c>
      <c r="P3" s="169" t="inlineStr">
        <is>
          <t>Dec
2025</t>
        </is>
      </c>
      <c r="Q3" s="169" t="inlineStr">
        <is>
          <t>Total
Hours</t>
        </is>
      </c>
    </row>
    <row r="4" ht="15" customHeight="1">
      <c r="A4" s="157" t="inlineStr">
        <is>
          <t>Alice Johnson</t>
        </is>
      </c>
      <c r="B4" s="156" t="inlineStr">
        <is>
          <t>R01</t>
        </is>
      </c>
      <c r="C4" s="156" t="n">
        <v>1</v>
      </c>
      <c r="D4" s="157" t="inlineStr">
        <is>
          <t>Project Kickoff</t>
        </is>
      </c>
      <c r="E4" s="170" t="n">
        <v>22.9</v>
      </c>
      <c r="F4" s="171" t="n"/>
      <c r="G4" s="171" t="n"/>
      <c r="H4" s="171" t="n"/>
      <c r="I4" s="171" t="n"/>
      <c r="J4" s="171" t="n"/>
      <c r="K4" s="171" t="n"/>
      <c r="L4" s="171" t="n"/>
      <c r="M4" s="171" t="n"/>
      <c r="N4" s="171" t="n"/>
      <c r="O4" s="171" t="n"/>
      <c r="P4" s="171" t="n"/>
      <c r="Q4" s="172">
        <f>SUM(E4)</f>
        <v/>
      </c>
    </row>
    <row r="5" ht="15" customHeight="1">
      <c r="A5" s="173" t="inlineStr">
        <is>
          <t>Eve Davis</t>
        </is>
      </c>
      <c r="B5" s="174" t="inlineStr">
        <is>
          <t>R05</t>
        </is>
      </c>
      <c r="C5" s="174" t="n">
        <v>1</v>
      </c>
      <c r="D5" s="173" t="inlineStr">
        <is>
          <t>Project Kickoff</t>
        </is>
      </c>
      <c r="E5" s="170" t="n">
        <v>5.7</v>
      </c>
      <c r="F5" s="175" t="n"/>
      <c r="G5" s="175" t="n"/>
      <c r="H5" s="175" t="n"/>
      <c r="I5" s="175" t="n"/>
      <c r="J5" s="175" t="n"/>
      <c r="K5" s="175" t="n"/>
      <c r="L5" s="175" t="n"/>
      <c r="M5" s="175" t="n"/>
      <c r="N5" s="175" t="n"/>
      <c r="O5" s="175" t="n"/>
      <c r="P5" s="175" t="n"/>
      <c r="Q5" s="172">
        <f>SUM(E5)</f>
        <v/>
      </c>
    </row>
    <row r="6" ht="15" customHeight="1">
      <c r="A6" s="157" t="inlineStr">
        <is>
          <t>Alice Johnson</t>
        </is>
      </c>
      <c r="B6" s="156" t="inlineStr">
        <is>
          <t>R01</t>
        </is>
      </c>
      <c r="C6" s="156" t="n">
        <v>2</v>
      </c>
      <c r="D6" s="157" t="inlineStr">
        <is>
          <t>Requirements Gathering</t>
        </is>
      </c>
      <c r="E6" s="170" t="n">
        <v>64</v>
      </c>
      <c r="F6" s="171" t="n"/>
      <c r="G6" s="171" t="n"/>
      <c r="H6" s="171" t="n"/>
      <c r="I6" s="171" t="n"/>
      <c r="J6" s="171" t="n"/>
      <c r="K6" s="171" t="n"/>
      <c r="L6" s="171" t="n"/>
      <c r="M6" s="171" t="n"/>
      <c r="N6" s="171" t="n"/>
      <c r="O6" s="171" t="n"/>
      <c r="P6" s="171" t="n"/>
      <c r="Q6" s="172">
        <f>SUM(E6)</f>
        <v/>
      </c>
    </row>
    <row r="7" ht="15" customHeight="1">
      <c r="A7" s="173" t="inlineStr">
        <is>
          <t>Eve Davis</t>
        </is>
      </c>
      <c r="B7" s="174" t="inlineStr">
        <is>
          <t>R05</t>
        </is>
      </c>
      <c r="C7" s="174" t="n">
        <v>2</v>
      </c>
      <c r="D7" s="173" t="inlineStr">
        <is>
          <t>Requirements Gathering</t>
        </is>
      </c>
      <c r="E7" s="170" t="n">
        <v>16</v>
      </c>
      <c r="F7" s="175" t="n"/>
      <c r="G7" s="175" t="n"/>
      <c r="H7" s="175" t="n"/>
      <c r="I7" s="175" t="n"/>
      <c r="J7" s="175" t="n"/>
      <c r="K7" s="175" t="n"/>
      <c r="L7" s="175" t="n"/>
      <c r="M7" s="175" t="n"/>
      <c r="N7" s="175" t="n"/>
      <c r="O7" s="175" t="n"/>
      <c r="P7" s="175" t="n"/>
      <c r="Q7" s="172">
        <f>SUM(E7)</f>
        <v/>
      </c>
    </row>
    <row r="8" ht="15" customHeight="1">
      <c r="A8" s="157" t="inlineStr">
        <is>
          <t>Alice Johnson</t>
        </is>
      </c>
      <c r="B8" s="156" t="inlineStr">
        <is>
          <t>R01</t>
        </is>
      </c>
      <c r="C8" s="156" t="n">
        <v>3</v>
      </c>
      <c r="D8" s="157" t="inlineStr">
        <is>
          <t>Stakeholder Interviews</t>
        </is>
      </c>
      <c r="E8" s="170" t="n">
        <v>32</v>
      </c>
      <c r="F8" s="171" t="n"/>
      <c r="G8" s="171" t="n"/>
      <c r="H8" s="171" t="n"/>
      <c r="I8" s="171" t="n"/>
      <c r="J8" s="171" t="n"/>
      <c r="K8" s="171" t="n"/>
      <c r="L8" s="171" t="n"/>
      <c r="M8" s="171" t="n"/>
      <c r="N8" s="171" t="n"/>
      <c r="O8" s="171" t="n"/>
      <c r="P8" s="171" t="n"/>
      <c r="Q8" s="172">
        <f>SUM(E8)</f>
        <v/>
      </c>
    </row>
    <row r="9" ht="15" customHeight="1">
      <c r="A9" s="173" t="inlineStr">
        <is>
          <t>Eve Davis</t>
        </is>
      </c>
      <c r="B9" s="174" t="inlineStr">
        <is>
          <t>R05</t>
        </is>
      </c>
      <c r="C9" s="174" t="n">
        <v>4</v>
      </c>
      <c r="D9" s="173" t="inlineStr">
        <is>
          <t>Document Requirements</t>
        </is>
      </c>
      <c r="E9" s="170" t="n">
        <v>32</v>
      </c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2">
        <f>SUM(E9)</f>
        <v/>
      </c>
    </row>
    <row r="10" ht="15" customHeight="1">
      <c r="A10" s="157" t="inlineStr">
        <is>
          <t>Alice Johnson</t>
        </is>
      </c>
      <c r="B10" s="156" t="inlineStr">
        <is>
          <t>R01</t>
        </is>
      </c>
      <c r="C10" s="156" t="n">
        <v>5</v>
      </c>
      <c r="D10" s="157" t="inlineStr">
        <is>
          <t>Requirements Sign-off</t>
        </is>
      </c>
      <c r="E10" s="170" t="n">
        <v>4.6</v>
      </c>
      <c r="F10" s="171" t="n"/>
      <c r="G10" s="171" t="n"/>
      <c r="H10" s="171" t="n"/>
      <c r="I10" s="171" t="n"/>
      <c r="J10" s="171" t="n"/>
      <c r="K10" s="171" t="n"/>
      <c r="L10" s="171" t="n"/>
      <c r="M10" s="171" t="n"/>
      <c r="N10" s="171" t="n"/>
      <c r="O10" s="171" t="n"/>
      <c r="P10" s="171" t="n"/>
      <c r="Q10" s="172">
        <f>SUM(E10)</f>
        <v/>
      </c>
    </row>
    <row r="11" ht="15" customHeight="1">
      <c r="A11" s="173" t="inlineStr">
        <is>
          <t>Carol Williams</t>
        </is>
      </c>
      <c r="B11" s="174" t="inlineStr">
        <is>
          <t>R03</t>
        </is>
      </c>
      <c r="C11" s="174" t="n">
        <v>6</v>
      </c>
      <c r="D11" s="173" t="inlineStr">
        <is>
          <t>Design Phase</t>
        </is>
      </c>
      <c r="E11" s="170" t="n">
        <v>54.9</v>
      </c>
      <c r="F11" s="170" t="n">
        <v>73.09999999999999</v>
      </c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5" t="n"/>
      <c r="P11" s="175" t="n"/>
      <c r="Q11" s="172">
        <f>SUM(E11,F11)</f>
        <v/>
      </c>
    </row>
    <row r="12" ht="15" customHeight="1">
      <c r="A12" s="157" t="inlineStr">
        <is>
          <t>Eve Davis</t>
        </is>
      </c>
      <c r="B12" s="156" t="inlineStr">
        <is>
          <t>R05</t>
        </is>
      </c>
      <c r="C12" s="156" t="n">
        <v>6</v>
      </c>
      <c r="D12" s="157" t="inlineStr">
        <is>
          <t>Design Phase</t>
        </is>
      </c>
      <c r="E12" s="170" t="n">
        <v>13.7</v>
      </c>
      <c r="F12" s="170" t="n">
        <v>18.3</v>
      </c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2">
        <f>SUM(E12,F12)</f>
        <v/>
      </c>
    </row>
    <row r="13" ht="15" customHeight="1">
      <c r="A13" s="173" t="inlineStr">
        <is>
          <t>Carol Williams</t>
        </is>
      </c>
      <c r="B13" s="174" t="inlineStr">
        <is>
          <t>R03</t>
        </is>
      </c>
      <c r="C13" s="174" t="n">
        <v>7</v>
      </c>
      <c r="D13" s="173" t="inlineStr">
        <is>
          <t>UI/UX Design</t>
        </is>
      </c>
      <c r="E13" s="170" t="n">
        <v>54.9</v>
      </c>
      <c r="F13" s="170" t="n">
        <v>41.1</v>
      </c>
      <c r="G13" s="175" t="n"/>
      <c r="H13" s="175" t="n"/>
      <c r="I13" s="175" t="n"/>
      <c r="J13" s="175" t="n"/>
      <c r="K13" s="175" t="n"/>
      <c r="L13" s="175" t="n"/>
      <c r="M13" s="175" t="n"/>
      <c r="N13" s="175" t="n"/>
      <c r="O13" s="175" t="n"/>
      <c r="P13" s="175" t="n"/>
      <c r="Q13" s="172">
        <f>SUM(E13,F13)</f>
        <v/>
      </c>
    </row>
    <row r="14" ht="15" customHeight="1">
      <c r="A14" s="157" t="inlineStr">
        <is>
          <t>Carol Williams</t>
        </is>
      </c>
      <c r="B14" s="156" t="inlineStr">
        <is>
          <t>R03</t>
        </is>
      </c>
      <c r="C14" s="156" t="n">
        <v>8</v>
      </c>
      <c r="D14" s="157" t="inlineStr">
        <is>
          <t>Wireframes</t>
        </is>
      </c>
      <c r="E14" s="170" t="n">
        <v>45.7</v>
      </c>
      <c r="F14" s="171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2">
        <f>SUM(E14)</f>
        <v/>
      </c>
    </row>
    <row r="15" ht="15" customHeight="1">
      <c r="A15" s="173" t="inlineStr">
        <is>
          <t>Carol Williams</t>
        </is>
      </c>
      <c r="B15" s="174" t="inlineStr">
        <is>
          <t>R03</t>
        </is>
      </c>
      <c r="C15" s="174" t="n">
        <v>9</v>
      </c>
      <c r="D15" s="173" t="inlineStr">
        <is>
          <t>Prototypes</t>
        </is>
      </c>
      <c r="E15" s="170" t="n">
        <v>9.1</v>
      </c>
      <c r="F15" s="170" t="n">
        <v>41.1</v>
      </c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2">
        <f>SUM(E15,F15)</f>
        <v/>
      </c>
    </row>
    <row r="16" ht="15" customHeight="1">
      <c r="A16" s="157" t="inlineStr">
        <is>
          <t>Bob Smith</t>
        </is>
      </c>
      <c r="B16" s="156" t="inlineStr">
        <is>
          <t>R02</t>
        </is>
      </c>
      <c r="C16" s="156" t="n">
        <v>10</v>
      </c>
      <c r="D16" s="157" t="inlineStr">
        <is>
          <t>Architecture Design</t>
        </is>
      </c>
      <c r="E16" s="170" t="n">
        <v>54.9</v>
      </c>
      <c r="F16" s="170" t="n">
        <v>9.1</v>
      </c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2">
        <f>SUM(E16,F16)</f>
        <v/>
      </c>
    </row>
    <row r="17" ht="15" customHeight="1">
      <c r="A17" s="173" t="inlineStr">
        <is>
          <t>Frank Miller</t>
        </is>
      </c>
      <c r="B17" s="174" t="inlineStr">
        <is>
          <t>R06</t>
        </is>
      </c>
      <c r="C17" s="174" t="n">
        <v>10</v>
      </c>
      <c r="D17" s="173" t="inlineStr">
        <is>
          <t>Architecture Design</t>
        </is>
      </c>
      <c r="E17" s="170" t="n">
        <v>13.7</v>
      </c>
      <c r="F17" s="170" t="n">
        <v>2.3</v>
      </c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2">
        <f>SUM(E17,F17)</f>
        <v/>
      </c>
    </row>
    <row r="18" ht="15" customHeight="1">
      <c r="A18" s="157" t="inlineStr">
        <is>
          <t>Alice Johnson</t>
        </is>
      </c>
      <c r="B18" s="156" t="inlineStr">
        <is>
          <t>R01</t>
        </is>
      </c>
      <c r="C18" s="156" t="n">
        <v>11</v>
      </c>
      <c r="D18" s="157" t="inlineStr">
        <is>
          <t>Design Review</t>
        </is>
      </c>
      <c r="E18" s="171" t="n"/>
      <c r="F18" s="170" t="n">
        <v>4.6</v>
      </c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2">
        <f>SUM(F18)</f>
        <v/>
      </c>
    </row>
    <row r="19" ht="15" customHeight="1">
      <c r="A19" s="173" t="inlineStr">
        <is>
          <t>Bob Smith</t>
        </is>
      </c>
      <c r="B19" s="174" t="inlineStr">
        <is>
          <t>R02</t>
        </is>
      </c>
      <c r="C19" s="174" t="n">
        <v>12</v>
      </c>
      <c r="D19" s="173" t="inlineStr">
        <is>
          <t>Development Sprint 1</t>
        </is>
      </c>
      <c r="E19" s="175" t="n"/>
      <c r="F19" s="170" t="n">
        <v>54.9</v>
      </c>
      <c r="G19" s="170" t="n">
        <v>137.1</v>
      </c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2">
        <f>SUM(F19,G19)</f>
        <v/>
      </c>
    </row>
    <row r="20" ht="15" customHeight="1">
      <c r="A20" s="157" t="inlineStr">
        <is>
          <t>Frank Miller</t>
        </is>
      </c>
      <c r="B20" s="156" t="inlineStr">
        <is>
          <t>R06</t>
        </is>
      </c>
      <c r="C20" s="156" t="n">
        <v>12</v>
      </c>
      <c r="D20" s="157" t="inlineStr">
        <is>
          <t>Development Sprint 1</t>
        </is>
      </c>
      <c r="E20" s="171" t="n"/>
      <c r="F20" s="170" t="n">
        <v>13.7</v>
      </c>
      <c r="G20" s="170" t="n">
        <v>34.3</v>
      </c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2">
        <f>SUM(F20,G20)</f>
        <v/>
      </c>
    </row>
    <row r="21" ht="15" customHeight="1">
      <c r="A21" s="173" t="inlineStr">
        <is>
          <t>Grace Wilson</t>
        </is>
      </c>
      <c r="B21" s="174" t="inlineStr">
        <is>
          <t>R07</t>
        </is>
      </c>
      <c r="C21" s="174" t="n">
        <v>12</v>
      </c>
      <c r="D21" s="173" t="inlineStr">
        <is>
          <t>Development Sprint 1</t>
        </is>
      </c>
      <c r="E21" s="175" t="n"/>
      <c r="F21" s="170" t="n">
        <v>13.7</v>
      </c>
      <c r="G21" s="170" t="n">
        <v>34.3</v>
      </c>
      <c r="H21" s="175" t="n"/>
      <c r="I21" s="175" t="n"/>
      <c r="J21" s="175" t="n"/>
      <c r="K21" s="175" t="n"/>
      <c r="L21" s="175" t="n"/>
      <c r="M21" s="175" t="n"/>
      <c r="N21" s="175" t="n"/>
      <c r="O21" s="175" t="n"/>
      <c r="P21" s="175" t="n"/>
      <c r="Q21" s="172">
        <f>SUM(F21,G21)</f>
        <v/>
      </c>
    </row>
    <row r="22" ht="15" customHeight="1">
      <c r="A22" s="157" t="inlineStr">
        <is>
          <t>Bob Smith</t>
        </is>
      </c>
      <c r="B22" s="156" t="inlineStr">
        <is>
          <t>R02</t>
        </is>
      </c>
      <c r="C22" s="156" t="n">
        <v>13</v>
      </c>
      <c r="D22" s="157" t="inlineStr">
        <is>
          <t>Backend API Development</t>
        </is>
      </c>
      <c r="E22" s="171" t="n"/>
      <c r="F22" s="170" t="n">
        <v>54.9</v>
      </c>
      <c r="G22" s="170" t="n">
        <v>73.09999999999999</v>
      </c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2">
        <f>SUM(F22,G22)</f>
        <v/>
      </c>
    </row>
    <row r="23" ht="15" customHeight="1">
      <c r="A23" s="173" t="inlineStr">
        <is>
          <t>Frank Miller</t>
        </is>
      </c>
      <c r="B23" s="174" t="inlineStr">
        <is>
          <t>R06</t>
        </is>
      </c>
      <c r="C23" s="174" t="n">
        <v>13</v>
      </c>
      <c r="D23" s="173" t="inlineStr">
        <is>
          <t>Backend API Development</t>
        </is>
      </c>
      <c r="E23" s="175" t="n"/>
      <c r="F23" s="170" t="n">
        <v>13.7</v>
      </c>
      <c r="G23" s="170" t="n">
        <v>18.3</v>
      </c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2">
        <f>SUM(F23,G23)</f>
        <v/>
      </c>
    </row>
    <row r="24" ht="15" customHeight="1">
      <c r="A24" s="157" t="inlineStr">
        <is>
          <t>Frank Miller</t>
        </is>
      </c>
      <c r="B24" s="156" t="inlineStr">
        <is>
          <t>R06</t>
        </is>
      </c>
      <c r="C24" s="156" t="n">
        <v>14</v>
      </c>
      <c r="D24" s="157" t="inlineStr">
        <is>
          <t>User Authentication</t>
        </is>
      </c>
      <c r="E24" s="171" t="n"/>
      <c r="F24" s="170" t="n">
        <v>45.7</v>
      </c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2">
        <f>SUM(F24)</f>
        <v/>
      </c>
    </row>
    <row r="25" ht="15" customHeight="1">
      <c r="A25" s="173" t="inlineStr">
        <is>
          <t>Bob Smith</t>
        </is>
      </c>
      <c r="B25" s="174" t="inlineStr">
        <is>
          <t>R02</t>
        </is>
      </c>
      <c r="C25" s="174" t="n">
        <v>15</v>
      </c>
      <c r="D25" s="173" t="inlineStr">
        <is>
          <t>Data Models</t>
        </is>
      </c>
      <c r="E25" s="175" t="n"/>
      <c r="F25" s="170" t="n">
        <v>9.1</v>
      </c>
      <c r="G25" s="170" t="n">
        <v>36.6</v>
      </c>
      <c r="H25" s="175" t="n"/>
      <c r="I25" s="175" t="n"/>
      <c r="J25" s="175" t="n"/>
      <c r="K25" s="175" t="n"/>
      <c r="L25" s="175" t="n"/>
      <c r="M25" s="175" t="n"/>
      <c r="N25" s="175" t="n"/>
      <c r="O25" s="175" t="n"/>
      <c r="P25" s="175" t="n"/>
      <c r="Q25" s="172">
        <f>SUM(F25,G25)</f>
        <v/>
      </c>
    </row>
    <row r="26" ht="15" customHeight="1">
      <c r="A26" s="157" t="inlineStr">
        <is>
          <t>Bob Smith</t>
        </is>
      </c>
      <c r="B26" s="156" t="inlineStr">
        <is>
          <t>R02</t>
        </is>
      </c>
      <c r="C26" s="156" t="n">
        <v>16</v>
      </c>
      <c r="D26" s="157" t="inlineStr">
        <is>
          <t>REST API Endpoints</t>
        </is>
      </c>
      <c r="E26" s="171" t="n"/>
      <c r="F26" s="171" t="n"/>
      <c r="G26" s="170" t="n">
        <v>36.6</v>
      </c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2">
        <f>SUM(G26)</f>
        <v/>
      </c>
    </row>
    <row r="27" ht="15" customHeight="1">
      <c r="A27" s="173" t="inlineStr">
        <is>
          <t>Frank Miller</t>
        </is>
      </c>
      <c r="B27" s="174" t="inlineStr">
        <is>
          <t>R06</t>
        </is>
      </c>
      <c r="C27" s="174" t="n">
        <v>16</v>
      </c>
      <c r="D27" s="173" t="inlineStr">
        <is>
          <t>REST API Endpoints</t>
        </is>
      </c>
      <c r="E27" s="175" t="n"/>
      <c r="F27" s="175" t="n"/>
      <c r="G27" s="170" t="n">
        <v>9.1</v>
      </c>
      <c r="H27" s="175" t="n"/>
      <c r="I27" s="175" t="n"/>
      <c r="J27" s="175" t="n"/>
      <c r="K27" s="175" t="n"/>
      <c r="L27" s="175" t="n"/>
      <c r="M27" s="175" t="n"/>
      <c r="N27" s="175" t="n"/>
      <c r="O27" s="175" t="n"/>
      <c r="P27" s="175" t="n"/>
      <c r="Q27" s="172">
        <f>SUM(G27)</f>
        <v/>
      </c>
    </row>
    <row r="28" ht="15" customHeight="1">
      <c r="A28" s="157" t="inlineStr">
        <is>
          <t>Grace Wilson</t>
        </is>
      </c>
      <c r="B28" s="156" t="inlineStr">
        <is>
          <t>R07</t>
        </is>
      </c>
      <c r="C28" s="156" t="n">
        <v>17</v>
      </c>
      <c r="D28" s="157" t="inlineStr">
        <is>
          <t>Frontend Development</t>
        </is>
      </c>
      <c r="E28" s="171" t="n"/>
      <c r="F28" s="171" t="n"/>
      <c r="G28" s="170" t="n">
        <v>128</v>
      </c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2">
        <f>SUM(G28)</f>
        <v/>
      </c>
    </row>
    <row r="29" ht="15" customHeight="1">
      <c r="A29" s="173" t="inlineStr">
        <is>
          <t>Grace Wilson</t>
        </is>
      </c>
      <c r="B29" s="174" t="inlineStr">
        <is>
          <t>R07</t>
        </is>
      </c>
      <c r="C29" s="174" t="n">
        <v>18</v>
      </c>
      <c r="D29" s="173" t="inlineStr">
        <is>
          <t>Component Library</t>
        </is>
      </c>
      <c r="E29" s="175" t="n"/>
      <c r="F29" s="175" t="n"/>
      <c r="G29" s="170" t="n">
        <v>64</v>
      </c>
      <c r="H29" s="175" t="n"/>
      <c r="I29" s="175" t="n"/>
      <c r="J29" s="175" t="n"/>
      <c r="K29" s="175" t="n"/>
      <c r="L29" s="175" t="n"/>
      <c r="M29" s="175" t="n"/>
      <c r="N29" s="175" t="n"/>
      <c r="O29" s="175" t="n"/>
      <c r="P29" s="175" t="n"/>
      <c r="Q29" s="172">
        <f>SUM(G29)</f>
        <v/>
      </c>
    </row>
    <row r="30" ht="15" customHeight="1">
      <c r="A30" s="157" t="inlineStr">
        <is>
          <t>Grace Wilson</t>
        </is>
      </c>
      <c r="B30" s="156" t="inlineStr">
        <is>
          <t>R07</t>
        </is>
      </c>
      <c r="C30" s="156" t="n">
        <v>19</v>
      </c>
      <c r="D30" s="157" t="inlineStr">
        <is>
          <t>Dashboard Views</t>
        </is>
      </c>
      <c r="E30" s="171" t="n"/>
      <c r="F30" s="171" t="n"/>
      <c r="G30" s="170" t="n">
        <v>64</v>
      </c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2">
        <f>SUM(G30)</f>
        <v/>
      </c>
    </row>
    <row r="31" ht="15" customHeight="1">
      <c r="A31" s="173" t="inlineStr">
        <is>
          <t>Alice Johnson</t>
        </is>
      </c>
      <c r="B31" s="174" t="inlineStr">
        <is>
          <t>R01</t>
        </is>
      </c>
      <c r="C31" s="174" t="n">
        <v>20</v>
      </c>
      <c r="D31" s="173" t="inlineStr">
        <is>
          <t>Sprint 1 Review</t>
        </is>
      </c>
      <c r="E31" s="175" t="n"/>
      <c r="F31" s="175" t="n"/>
      <c r="G31" s="170" t="n">
        <v>4.6</v>
      </c>
      <c r="H31" s="175" t="n"/>
      <c r="I31" s="175" t="n"/>
      <c r="J31" s="175" t="n"/>
      <c r="K31" s="175" t="n"/>
      <c r="L31" s="175" t="n"/>
      <c r="M31" s="175" t="n"/>
      <c r="N31" s="175" t="n"/>
      <c r="O31" s="175" t="n"/>
      <c r="P31" s="175" t="n"/>
      <c r="Q31" s="172">
        <f>SUM(G31)</f>
        <v/>
      </c>
    </row>
    <row r="32" ht="15" customHeight="1">
      <c r="A32" s="157" t="inlineStr">
        <is>
          <t>Bob Smith</t>
        </is>
      </c>
      <c r="B32" s="156" t="inlineStr">
        <is>
          <t>R02</t>
        </is>
      </c>
      <c r="C32" s="156" t="n">
        <v>21</v>
      </c>
      <c r="D32" s="157" t="inlineStr">
        <is>
          <t>Development Sprint 2</t>
        </is>
      </c>
      <c r="E32" s="171" t="n"/>
      <c r="F32" s="171" t="n"/>
      <c r="G32" s="170" t="n">
        <v>4.6</v>
      </c>
      <c r="H32" s="170" t="n">
        <v>137.1</v>
      </c>
      <c r="I32" s="170" t="n">
        <v>50.3</v>
      </c>
      <c r="J32" s="171" t="n"/>
      <c r="K32" s="171" t="n"/>
      <c r="L32" s="171" t="n"/>
      <c r="M32" s="171" t="n"/>
      <c r="N32" s="171" t="n"/>
      <c r="O32" s="171" t="n"/>
      <c r="P32" s="171" t="n"/>
      <c r="Q32" s="172">
        <f>SUM(G32,H32,I32)</f>
        <v/>
      </c>
    </row>
    <row r="33" ht="15" customHeight="1">
      <c r="A33" s="173" t="inlineStr">
        <is>
          <t>Frank Miller</t>
        </is>
      </c>
      <c r="B33" s="174" t="inlineStr">
        <is>
          <t>R06</t>
        </is>
      </c>
      <c r="C33" s="174" t="n">
        <v>21</v>
      </c>
      <c r="D33" s="173" t="inlineStr">
        <is>
          <t>Development Sprint 2</t>
        </is>
      </c>
      <c r="E33" s="175" t="n"/>
      <c r="F33" s="175" t="n"/>
      <c r="G33" s="170" t="n">
        <v>1.1</v>
      </c>
      <c r="H33" s="170" t="n">
        <v>34.3</v>
      </c>
      <c r="I33" s="170" t="n">
        <v>12.6</v>
      </c>
      <c r="J33" s="175" t="n"/>
      <c r="K33" s="175" t="n"/>
      <c r="L33" s="175" t="n"/>
      <c r="M33" s="175" t="n"/>
      <c r="N33" s="175" t="n"/>
      <c r="O33" s="175" t="n"/>
      <c r="P33" s="175" t="n"/>
      <c r="Q33" s="172">
        <f>SUM(G33,H33,I33)</f>
        <v/>
      </c>
    </row>
    <row r="34" ht="15" customHeight="1">
      <c r="A34" s="157" t="inlineStr">
        <is>
          <t>Grace Wilson</t>
        </is>
      </c>
      <c r="B34" s="156" t="inlineStr">
        <is>
          <t>R07</t>
        </is>
      </c>
      <c r="C34" s="156" t="n">
        <v>21</v>
      </c>
      <c r="D34" s="157" t="inlineStr">
        <is>
          <t>Development Sprint 2</t>
        </is>
      </c>
      <c r="E34" s="171" t="n"/>
      <c r="F34" s="171" t="n"/>
      <c r="G34" s="170" t="n">
        <v>1.1</v>
      </c>
      <c r="H34" s="170" t="n">
        <v>34.3</v>
      </c>
      <c r="I34" s="170" t="n">
        <v>12.6</v>
      </c>
      <c r="J34" s="171" t="n"/>
      <c r="K34" s="171" t="n"/>
      <c r="L34" s="171" t="n"/>
      <c r="M34" s="171" t="n"/>
      <c r="N34" s="171" t="n"/>
      <c r="O34" s="171" t="n"/>
      <c r="P34" s="171" t="n"/>
      <c r="Q34" s="172">
        <f>SUM(G34,H34,I34)</f>
        <v/>
      </c>
    </row>
    <row r="35" ht="15" customHeight="1">
      <c r="A35" s="173" t="inlineStr">
        <is>
          <t>Bob Smith</t>
        </is>
      </c>
      <c r="B35" s="174" t="inlineStr">
        <is>
          <t>R02</t>
        </is>
      </c>
      <c r="C35" s="174" t="n">
        <v>22</v>
      </c>
      <c r="D35" s="173" t="inlineStr">
        <is>
          <t>Integration Development</t>
        </is>
      </c>
      <c r="E35" s="175" t="n"/>
      <c r="F35" s="175" t="n"/>
      <c r="G35" s="170" t="n">
        <v>4.6</v>
      </c>
      <c r="H35" s="170" t="n">
        <v>91.40000000000001</v>
      </c>
      <c r="I35" s="175" t="n"/>
      <c r="J35" s="175" t="n"/>
      <c r="K35" s="175" t="n"/>
      <c r="L35" s="175" t="n"/>
      <c r="M35" s="175" t="n"/>
      <c r="N35" s="175" t="n"/>
      <c r="O35" s="175" t="n"/>
      <c r="P35" s="175" t="n"/>
      <c r="Q35" s="172">
        <f>SUM(G35,H35)</f>
        <v/>
      </c>
    </row>
    <row r="36" ht="15" customHeight="1">
      <c r="A36" s="157" t="inlineStr">
        <is>
          <t>Grace Wilson</t>
        </is>
      </c>
      <c r="B36" s="156" t="inlineStr">
        <is>
          <t>R07</t>
        </is>
      </c>
      <c r="C36" s="156" t="n">
        <v>22</v>
      </c>
      <c r="D36" s="157" t="inlineStr">
        <is>
          <t>Integration Development</t>
        </is>
      </c>
      <c r="E36" s="171" t="n"/>
      <c r="F36" s="171" t="n"/>
      <c r="G36" s="170" t="n">
        <v>1.1</v>
      </c>
      <c r="H36" s="170" t="n">
        <v>22.9</v>
      </c>
      <c r="I36" s="171" t="n"/>
      <c r="J36" s="171" t="n"/>
      <c r="K36" s="171" t="n"/>
      <c r="L36" s="171" t="n"/>
      <c r="M36" s="171" t="n"/>
      <c r="N36" s="171" t="n"/>
      <c r="O36" s="171" t="n"/>
      <c r="P36" s="171" t="n"/>
      <c r="Q36" s="172">
        <f>SUM(G36,H36)</f>
        <v/>
      </c>
    </row>
    <row r="37" ht="15" customHeight="1">
      <c r="A37" s="173" t="inlineStr">
        <is>
          <t>Frank Miller</t>
        </is>
      </c>
      <c r="B37" s="174" t="inlineStr">
        <is>
          <t>R06</t>
        </is>
      </c>
      <c r="C37" s="174" t="n">
        <v>23</v>
      </c>
      <c r="D37" s="173" t="inlineStr">
        <is>
          <t>Performance Optimization</t>
        </is>
      </c>
      <c r="E37" s="175" t="n"/>
      <c r="F37" s="175" t="n"/>
      <c r="G37" s="175" t="n"/>
      <c r="H37" s="170" t="n">
        <v>45.7</v>
      </c>
      <c r="I37" s="170" t="n">
        <v>50.3</v>
      </c>
      <c r="J37" s="175" t="n"/>
      <c r="K37" s="175" t="n"/>
      <c r="L37" s="175" t="n"/>
      <c r="M37" s="175" t="n"/>
      <c r="N37" s="175" t="n"/>
      <c r="O37" s="175" t="n"/>
      <c r="P37" s="175" t="n"/>
      <c r="Q37" s="172">
        <f>SUM(H37,I37)</f>
        <v/>
      </c>
    </row>
    <row r="38" ht="15" customHeight="1">
      <c r="A38" s="157" t="inlineStr">
        <is>
          <t>Alice Johnson</t>
        </is>
      </c>
      <c r="B38" s="156" t="inlineStr">
        <is>
          <t>R01</t>
        </is>
      </c>
      <c r="C38" s="156" t="n">
        <v>24</v>
      </c>
      <c r="D38" s="157" t="inlineStr">
        <is>
          <t>Sprint 2 Deliverable</t>
        </is>
      </c>
      <c r="E38" s="171" t="n"/>
      <c r="F38" s="171" t="n"/>
      <c r="G38" s="171" t="n"/>
      <c r="H38" s="171" t="n"/>
      <c r="I38" s="170" t="n">
        <v>4.6</v>
      </c>
      <c r="J38" s="171" t="n"/>
      <c r="K38" s="171" t="n"/>
      <c r="L38" s="171" t="n"/>
      <c r="M38" s="171" t="n"/>
      <c r="N38" s="171" t="n"/>
      <c r="O38" s="171" t="n"/>
      <c r="P38" s="171" t="n"/>
      <c r="Q38" s="172">
        <f>SUM(I38)</f>
        <v/>
      </c>
    </row>
    <row r="39" ht="15" customHeight="1">
      <c r="A39" s="173" t="inlineStr">
        <is>
          <t>David Brown</t>
        </is>
      </c>
      <c r="B39" s="174" t="inlineStr">
        <is>
          <t>R04</t>
        </is>
      </c>
      <c r="C39" s="174" t="n">
        <v>25</v>
      </c>
      <c r="D39" s="173" t="inlineStr">
        <is>
          <t>Testing &amp; QA</t>
        </is>
      </c>
      <c r="E39" s="175" t="n"/>
      <c r="F39" s="175" t="n"/>
      <c r="G39" s="175" t="n"/>
      <c r="H39" s="175" t="n"/>
      <c r="I39" s="170" t="n">
        <v>118.9</v>
      </c>
      <c r="J39" s="170" t="n">
        <v>9.1</v>
      </c>
      <c r="K39" s="175" t="n"/>
      <c r="L39" s="175" t="n"/>
      <c r="M39" s="175" t="n"/>
      <c r="N39" s="175" t="n"/>
      <c r="O39" s="175" t="n"/>
      <c r="P39" s="175" t="n"/>
      <c r="Q39" s="172">
        <f>SUM(I39,J39)</f>
        <v/>
      </c>
    </row>
    <row r="40" ht="15" customHeight="1">
      <c r="A40" s="157" t="inlineStr">
        <is>
          <t>Bob Smith</t>
        </is>
      </c>
      <c r="B40" s="156" t="inlineStr">
        <is>
          <t>R02</t>
        </is>
      </c>
      <c r="C40" s="156" t="n">
        <v>25</v>
      </c>
      <c r="D40" s="157" t="inlineStr">
        <is>
          <t>Testing &amp; QA</t>
        </is>
      </c>
      <c r="E40" s="171" t="n"/>
      <c r="F40" s="171" t="n"/>
      <c r="G40" s="171" t="n"/>
      <c r="H40" s="171" t="n"/>
      <c r="I40" s="170" t="n">
        <v>29.7</v>
      </c>
      <c r="J40" s="170" t="n">
        <v>2.3</v>
      </c>
      <c r="K40" s="171" t="n"/>
      <c r="L40" s="171" t="n"/>
      <c r="M40" s="171" t="n"/>
      <c r="N40" s="171" t="n"/>
      <c r="O40" s="171" t="n"/>
      <c r="P40" s="171" t="n"/>
      <c r="Q40" s="172">
        <f>SUM(I40,J40)</f>
        <v/>
      </c>
    </row>
    <row r="41" ht="15" customHeight="1">
      <c r="A41" s="173" t="inlineStr">
        <is>
          <t>Bob Smith</t>
        </is>
      </c>
      <c r="B41" s="174" t="inlineStr">
        <is>
          <t>R02</t>
        </is>
      </c>
      <c r="C41" s="174" t="n">
        <v>26</v>
      </c>
      <c r="D41" s="173" t="inlineStr">
        <is>
          <t>Unit Testing</t>
        </is>
      </c>
      <c r="E41" s="175" t="n"/>
      <c r="F41" s="175" t="n"/>
      <c r="G41" s="175" t="n"/>
      <c r="H41" s="175" t="n"/>
      <c r="I41" s="170" t="n">
        <v>64</v>
      </c>
      <c r="J41" s="175" t="n"/>
      <c r="K41" s="175" t="n"/>
      <c r="L41" s="175" t="n"/>
      <c r="M41" s="175" t="n"/>
      <c r="N41" s="175" t="n"/>
      <c r="O41" s="175" t="n"/>
      <c r="P41" s="175" t="n"/>
      <c r="Q41" s="172">
        <f>SUM(I41)</f>
        <v/>
      </c>
    </row>
    <row r="42" ht="15" customHeight="1">
      <c r="A42" s="157" t="inlineStr">
        <is>
          <t>David Brown</t>
        </is>
      </c>
      <c r="B42" s="156" t="inlineStr">
        <is>
          <t>R04</t>
        </is>
      </c>
      <c r="C42" s="156" t="n">
        <v>27</v>
      </c>
      <c r="D42" s="157" t="inlineStr">
        <is>
          <t>Integration Testing</t>
        </is>
      </c>
      <c r="E42" s="171" t="n"/>
      <c r="F42" s="171" t="n"/>
      <c r="G42" s="171" t="n"/>
      <c r="H42" s="171" t="n"/>
      <c r="I42" s="170" t="n">
        <v>54.9</v>
      </c>
      <c r="J42" s="170" t="n">
        <v>9.1</v>
      </c>
      <c r="K42" s="171" t="n"/>
      <c r="L42" s="171" t="n"/>
      <c r="M42" s="171" t="n"/>
      <c r="N42" s="171" t="n"/>
      <c r="O42" s="171" t="n"/>
      <c r="P42" s="171" t="n"/>
      <c r="Q42" s="172">
        <f>SUM(I42,J42)</f>
        <v/>
      </c>
    </row>
    <row r="43" ht="15" customHeight="1">
      <c r="A43" s="173" t="inlineStr">
        <is>
          <t>Alice Johnson</t>
        </is>
      </c>
      <c r="B43" s="174" t="inlineStr">
        <is>
          <t>R01</t>
        </is>
      </c>
      <c r="C43" s="174" t="n">
        <v>28</v>
      </c>
      <c r="D43" s="173" t="inlineStr">
        <is>
          <t>UAT</t>
        </is>
      </c>
      <c r="E43" s="175" t="n"/>
      <c r="F43" s="175" t="n"/>
      <c r="G43" s="175" t="n"/>
      <c r="H43" s="175" t="n"/>
      <c r="I43" s="175" t="n"/>
      <c r="J43" s="170" t="n">
        <v>45.7</v>
      </c>
      <c r="K43" s="175" t="n"/>
      <c r="L43" s="175" t="n"/>
      <c r="M43" s="175" t="n"/>
      <c r="N43" s="175" t="n"/>
      <c r="O43" s="175" t="n"/>
      <c r="P43" s="175" t="n"/>
      <c r="Q43" s="172">
        <f>SUM(J43)</f>
        <v/>
      </c>
    </row>
    <row r="44" ht="15" customHeight="1">
      <c r="A44" s="157" t="inlineStr">
        <is>
          <t>David Brown</t>
        </is>
      </c>
      <c r="B44" s="156" t="inlineStr">
        <is>
          <t>R04</t>
        </is>
      </c>
      <c r="C44" s="156" t="n">
        <v>28</v>
      </c>
      <c r="D44" s="157" t="inlineStr">
        <is>
          <t>UAT</t>
        </is>
      </c>
      <c r="E44" s="171" t="n"/>
      <c r="F44" s="171" t="n"/>
      <c r="G44" s="171" t="n"/>
      <c r="H44" s="171" t="n"/>
      <c r="I44" s="171" t="n"/>
      <c r="J44" s="170" t="n">
        <v>11.4</v>
      </c>
      <c r="K44" s="171" t="n"/>
      <c r="L44" s="171" t="n"/>
      <c r="M44" s="171" t="n"/>
      <c r="N44" s="171" t="n"/>
      <c r="O44" s="171" t="n"/>
      <c r="P44" s="171" t="n"/>
      <c r="Q44" s="172">
        <f>SUM(J44)</f>
        <v/>
      </c>
    </row>
    <row r="45" ht="15" customHeight="1">
      <c r="A45" s="173" t="inlineStr">
        <is>
          <t>Eve Davis</t>
        </is>
      </c>
      <c r="B45" s="174" t="inlineStr">
        <is>
          <t>R05</t>
        </is>
      </c>
      <c r="C45" s="174" t="n">
        <v>28</v>
      </c>
      <c r="D45" s="173" t="inlineStr">
        <is>
          <t>UAT</t>
        </is>
      </c>
      <c r="E45" s="175" t="n"/>
      <c r="F45" s="175" t="n"/>
      <c r="G45" s="175" t="n"/>
      <c r="H45" s="175" t="n"/>
      <c r="I45" s="175" t="n"/>
      <c r="J45" s="170" t="n">
        <v>11.4</v>
      </c>
      <c r="K45" s="175" t="n"/>
      <c r="L45" s="175" t="n"/>
      <c r="M45" s="175" t="n"/>
      <c r="N45" s="175" t="n"/>
      <c r="O45" s="175" t="n"/>
      <c r="P45" s="175" t="n"/>
      <c r="Q45" s="172">
        <f>SUM(J45)</f>
        <v/>
      </c>
    </row>
    <row r="46" ht="15" customHeight="1">
      <c r="A46" s="157" t="inlineStr">
        <is>
          <t>Alice Johnson</t>
        </is>
      </c>
      <c r="B46" s="156" t="inlineStr">
        <is>
          <t>R01</t>
        </is>
      </c>
      <c r="C46" s="156" t="n">
        <v>29</v>
      </c>
      <c r="D46" s="157" t="inlineStr">
        <is>
          <t>Testing Sign-off</t>
        </is>
      </c>
      <c r="E46" s="171" t="n"/>
      <c r="F46" s="171" t="n"/>
      <c r="G46" s="171" t="n"/>
      <c r="H46" s="171" t="n"/>
      <c r="I46" s="171" t="n"/>
      <c r="J46" s="170" t="n">
        <v>4.6</v>
      </c>
      <c r="K46" s="171" t="n"/>
      <c r="L46" s="171" t="n"/>
      <c r="M46" s="171" t="n"/>
      <c r="N46" s="171" t="n"/>
      <c r="O46" s="171" t="n"/>
      <c r="P46" s="171" t="n"/>
      <c r="Q46" s="172">
        <f>SUM(J46)</f>
        <v/>
      </c>
    </row>
    <row r="47" ht="15" customHeight="1">
      <c r="A47" s="173" t="inlineStr">
        <is>
          <t>Henry Moore</t>
        </is>
      </c>
      <c r="B47" s="174" t="inlineStr">
        <is>
          <t>R08</t>
        </is>
      </c>
      <c r="C47" s="174" t="n">
        <v>30</v>
      </c>
      <c r="D47" s="173" t="inlineStr">
        <is>
          <t>Deployment</t>
        </is>
      </c>
      <c r="E47" s="175" t="n"/>
      <c r="F47" s="175" t="n"/>
      <c r="G47" s="175" t="n"/>
      <c r="H47" s="175" t="n"/>
      <c r="I47" s="175" t="n"/>
      <c r="J47" s="170" t="n">
        <v>64</v>
      </c>
      <c r="K47" s="175" t="n"/>
      <c r="L47" s="175" t="n"/>
      <c r="M47" s="175" t="n"/>
      <c r="N47" s="175" t="n"/>
      <c r="O47" s="175" t="n"/>
      <c r="P47" s="175" t="n"/>
      <c r="Q47" s="172">
        <f>SUM(J47)</f>
        <v/>
      </c>
    </row>
    <row r="48" ht="15" customHeight="1">
      <c r="A48" s="157" t="inlineStr">
        <is>
          <t>Bob Smith</t>
        </is>
      </c>
      <c r="B48" s="156" t="inlineStr">
        <is>
          <t>R02</t>
        </is>
      </c>
      <c r="C48" s="156" t="n">
        <v>30</v>
      </c>
      <c r="D48" s="157" t="inlineStr">
        <is>
          <t>Deployment</t>
        </is>
      </c>
      <c r="E48" s="171" t="n"/>
      <c r="F48" s="171" t="n"/>
      <c r="G48" s="171" t="n"/>
      <c r="H48" s="171" t="n"/>
      <c r="I48" s="171" t="n"/>
      <c r="J48" s="170" t="n">
        <v>16</v>
      </c>
      <c r="K48" s="171" t="n"/>
      <c r="L48" s="171" t="n"/>
      <c r="M48" s="171" t="n"/>
      <c r="N48" s="171" t="n"/>
      <c r="O48" s="171" t="n"/>
      <c r="P48" s="171" t="n"/>
      <c r="Q48" s="172">
        <f>SUM(J48)</f>
        <v/>
      </c>
    </row>
    <row r="49" ht="15" customHeight="1">
      <c r="A49" s="173" t="inlineStr">
        <is>
          <t>Henry Moore</t>
        </is>
      </c>
      <c r="B49" s="174" t="inlineStr">
        <is>
          <t>R08</t>
        </is>
      </c>
      <c r="C49" s="174" t="n">
        <v>31</v>
      </c>
      <c r="D49" s="173" t="inlineStr">
        <is>
          <t>Staging Deployment</t>
        </is>
      </c>
      <c r="E49" s="175" t="n"/>
      <c r="F49" s="175" t="n"/>
      <c r="G49" s="175" t="n"/>
      <c r="H49" s="175" t="n"/>
      <c r="I49" s="175" t="n"/>
      <c r="J49" s="170" t="n">
        <v>32</v>
      </c>
      <c r="K49" s="175" t="n"/>
      <c r="L49" s="175" t="n"/>
      <c r="M49" s="175" t="n"/>
      <c r="N49" s="175" t="n"/>
      <c r="O49" s="175" t="n"/>
      <c r="P49" s="175" t="n"/>
      <c r="Q49" s="172">
        <f>SUM(J49)</f>
        <v/>
      </c>
    </row>
    <row r="50" ht="15" customHeight="1">
      <c r="A50" s="157" t="inlineStr">
        <is>
          <t>Henry Moore</t>
        </is>
      </c>
      <c r="B50" s="156" t="inlineStr">
        <is>
          <t>R08</t>
        </is>
      </c>
      <c r="C50" s="156" t="n">
        <v>32</v>
      </c>
      <c r="D50" s="157" t="inlineStr">
        <is>
          <t>Production Deployment</t>
        </is>
      </c>
      <c r="E50" s="171" t="n"/>
      <c r="F50" s="171" t="n"/>
      <c r="G50" s="171" t="n"/>
      <c r="H50" s="171" t="n"/>
      <c r="I50" s="171" t="n"/>
      <c r="J50" s="170" t="n">
        <v>13.7</v>
      </c>
      <c r="K50" s="171" t="n"/>
      <c r="L50" s="171" t="n"/>
      <c r="M50" s="171" t="n"/>
      <c r="N50" s="171" t="n"/>
      <c r="O50" s="171" t="n"/>
      <c r="P50" s="171" t="n"/>
      <c r="Q50" s="172">
        <f>SUM(J50)</f>
        <v/>
      </c>
    </row>
    <row r="51" ht="15" customHeight="1">
      <c r="A51" s="173" t="inlineStr">
        <is>
          <t>Alice Johnson</t>
        </is>
      </c>
      <c r="B51" s="174" t="inlineStr">
        <is>
          <t>R01</t>
        </is>
      </c>
      <c r="C51" s="174" t="n">
        <v>32</v>
      </c>
      <c r="D51" s="173" t="inlineStr">
        <is>
          <t>Production Deployment</t>
        </is>
      </c>
      <c r="E51" s="175" t="n"/>
      <c r="F51" s="175" t="n"/>
      <c r="G51" s="175" t="n"/>
      <c r="H51" s="175" t="n"/>
      <c r="I51" s="175" t="n"/>
      <c r="J51" s="170" t="n">
        <v>3.4</v>
      </c>
      <c r="K51" s="175" t="n"/>
      <c r="L51" s="175" t="n"/>
      <c r="M51" s="175" t="n"/>
      <c r="N51" s="175" t="n"/>
      <c r="O51" s="175" t="n"/>
      <c r="P51" s="175" t="n"/>
      <c r="Q51" s="172">
        <f>SUM(J51)</f>
        <v/>
      </c>
    </row>
    <row r="52" ht="15" customHeight="1">
      <c r="A52" s="157" t="inlineStr">
        <is>
          <t>Alice Johnson</t>
        </is>
      </c>
      <c r="B52" s="156" t="inlineStr">
        <is>
          <t>R01</t>
        </is>
      </c>
      <c r="C52" s="156" t="n">
        <v>33</v>
      </c>
      <c r="D52" s="157" t="inlineStr">
        <is>
          <t>Go Live</t>
        </is>
      </c>
      <c r="E52" s="171" t="n"/>
      <c r="F52" s="171" t="n"/>
      <c r="G52" s="171" t="n"/>
      <c r="H52" s="171" t="n"/>
      <c r="I52" s="171" t="n"/>
      <c r="J52" s="170" t="n">
        <v>4.6</v>
      </c>
      <c r="K52" s="171" t="n"/>
      <c r="L52" s="171" t="n"/>
      <c r="M52" s="171" t="n"/>
      <c r="N52" s="171" t="n"/>
      <c r="O52" s="171" t="n"/>
      <c r="P52" s="171" t="n"/>
      <c r="Q52" s="172">
        <f>SUM(J52)</f>
        <v/>
      </c>
    </row>
    <row r="53" ht="15" customHeight="1">
      <c r="A53" s="173" t="inlineStr">
        <is>
          <t>Bob Smith</t>
        </is>
      </c>
      <c r="B53" s="174" t="inlineStr">
        <is>
          <t>R02</t>
        </is>
      </c>
      <c r="C53" s="174" t="n">
        <v>34</v>
      </c>
      <c r="D53" s="173" t="inlineStr">
        <is>
          <t>Post-Launch Support</t>
        </is>
      </c>
      <c r="E53" s="175" t="n"/>
      <c r="F53" s="175" t="n"/>
      <c r="G53" s="175" t="n"/>
      <c r="H53" s="175" t="n"/>
      <c r="I53" s="175" t="n"/>
      <c r="J53" s="170" t="n">
        <v>32</v>
      </c>
      <c r="K53" s="170" t="n">
        <v>32</v>
      </c>
      <c r="L53" s="175" t="n"/>
      <c r="M53" s="175" t="n"/>
      <c r="N53" s="175" t="n"/>
      <c r="O53" s="175" t="n"/>
      <c r="P53" s="175" t="n"/>
      <c r="Q53" s="172">
        <f>SUM(J53,K53)</f>
        <v/>
      </c>
    </row>
    <row r="54" ht="15" customHeight="1">
      <c r="A54" s="157" t="inlineStr">
        <is>
          <t>David Brown</t>
        </is>
      </c>
      <c r="B54" s="156" t="inlineStr">
        <is>
          <t>R04</t>
        </is>
      </c>
      <c r="C54" s="156" t="n">
        <v>34</v>
      </c>
      <c r="D54" s="157" t="inlineStr">
        <is>
          <t>Post-Launch Support</t>
        </is>
      </c>
      <c r="E54" s="171" t="n"/>
      <c r="F54" s="171" t="n"/>
      <c r="G54" s="171" t="n"/>
      <c r="H54" s="171" t="n"/>
      <c r="I54" s="171" t="n"/>
      <c r="J54" s="170" t="n">
        <v>8</v>
      </c>
      <c r="K54" s="170" t="n">
        <v>8</v>
      </c>
      <c r="L54" s="171" t="n"/>
      <c r="M54" s="171" t="n"/>
      <c r="N54" s="171" t="n"/>
      <c r="O54" s="171" t="n"/>
      <c r="P54" s="171" t="n"/>
      <c r="Q54" s="172">
        <f>SUM(J54,K54)</f>
        <v/>
      </c>
    </row>
    <row r="55" ht="15" customHeight="1">
      <c r="A55" s="173" t="inlineStr">
        <is>
          <t>Alice Johnson</t>
        </is>
      </c>
      <c r="B55" s="174" t="inlineStr">
        <is>
          <t>R01</t>
        </is>
      </c>
      <c r="C55" s="174" t="n">
        <v>35</v>
      </c>
      <c r="D55" s="173" t="inlineStr">
        <is>
          <t>Project Closure Report</t>
        </is>
      </c>
      <c r="E55" s="175" t="n"/>
      <c r="F55" s="175" t="n"/>
      <c r="G55" s="175" t="n"/>
      <c r="H55" s="175" t="n"/>
      <c r="I55" s="175" t="n"/>
      <c r="J55" s="175" t="n"/>
      <c r="K55" s="170" t="n">
        <v>32</v>
      </c>
      <c r="L55" s="175" t="n"/>
      <c r="M55" s="175" t="n"/>
      <c r="N55" s="175" t="n"/>
      <c r="O55" s="175" t="n"/>
      <c r="P55" s="175" t="n"/>
      <c r="Q55" s="172">
        <f>SUM(K55)</f>
        <v/>
      </c>
    </row>
    <row r="56" ht="15" customHeight="1">
      <c r="A56" s="157" t="inlineStr">
        <is>
          <t>Eve Davis</t>
        </is>
      </c>
      <c r="B56" s="156" t="inlineStr">
        <is>
          <t>R05</t>
        </is>
      </c>
      <c r="C56" s="156" t="n">
        <v>35</v>
      </c>
      <c r="D56" s="157" t="inlineStr">
        <is>
          <t>Project Closure Report</t>
        </is>
      </c>
      <c r="E56" s="171" t="n"/>
      <c r="F56" s="171" t="n"/>
      <c r="G56" s="171" t="n"/>
      <c r="H56" s="171" t="n"/>
      <c r="I56" s="171" t="n"/>
      <c r="J56" s="171" t="n"/>
      <c r="K56" s="170" t="n">
        <v>8</v>
      </c>
      <c r="L56" s="171" t="n"/>
      <c r="M56" s="171" t="n"/>
      <c r="N56" s="171" t="n"/>
      <c r="O56" s="171" t="n"/>
      <c r="P56" s="171" t="n"/>
      <c r="Q56" s="172">
        <f>SUM(K56)</f>
        <v/>
      </c>
    </row>
    <row r="59">
      <c r="A59" s="69" t="inlineStr">
        <is>
          <t>TOTAL HOURS BY RESOURCE</t>
        </is>
      </c>
    </row>
    <row r="60">
      <c r="C60" s="169" t="inlineStr">
        <is>
          <t>Resource</t>
        </is>
      </c>
      <c r="D60" s="169" t="inlineStr">
        <is>
          <t>Total Hours</t>
        </is>
      </c>
    </row>
    <row r="61">
      <c r="C61" s="176" t="inlineStr">
        <is>
          <t>Alice Johnson</t>
        </is>
      </c>
      <c r="D61" s="177">
        <f>SUMIF(A4:A56,"Alice Johnson",Q4:Q56)</f>
        <v/>
      </c>
    </row>
    <row r="62">
      <c r="C62" s="176" t="inlineStr">
        <is>
          <t>Bob Smith</t>
        </is>
      </c>
      <c r="D62" s="177">
        <f>SUMIF(A4:A56,"Bob Smith",Q4:Q56)</f>
        <v/>
      </c>
    </row>
    <row r="63">
      <c r="C63" s="176" t="inlineStr">
        <is>
          <t>Carol Williams</t>
        </is>
      </c>
      <c r="D63" s="177">
        <f>SUMIF(A4:A56,"Carol Williams",Q4:Q56)</f>
        <v/>
      </c>
    </row>
    <row r="64">
      <c r="C64" s="176" t="inlineStr">
        <is>
          <t>David Brown</t>
        </is>
      </c>
      <c r="D64" s="177">
        <f>SUMIF(A4:A56,"David Brown",Q4:Q56)</f>
        <v/>
      </c>
    </row>
    <row r="65">
      <c r="C65" s="176" t="inlineStr">
        <is>
          <t>Eve Davis</t>
        </is>
      </c>
      <c r="D65" s="177">
        <f>SUMIF(A4:A56,"Eve Davis",Q4:Q56)</f>
        <v/>
      </c>
    </row>
    <row r="66">
      <c r="C66" s="176" t="inlineStr">
        <is>
          <t>Frank Miller</t>
        </is>
      </c>
      <c r="D66" s="177">
        <f>SUMIF(A4:A56,"Frank Miller",Q4:Q56)</f>
        <v/>
      </c>
    </row>
    <row r="67">
      <c r="C67" s="176" t="inlineStr">
        <is>
          <t>Grace Wilson</t>
        </is>
      </c>
      <c r="D67" s="177">
        <f>SUMIF(A4:A56,"Grace Wilson",Q4:Q56)</f>
        <v/>
      </c>
    </row>
    <row r="68">
      <c r="C68" s="176" t="inlineStr">
        <is>
          <t>Henry Moore</t>
        </is>
      </c>
      <c r="D68" s="177">
        <f>SUMIF(A4:A56,"Henry Moore",Q4:Q56)</f>
        <v/>
      </c>
    </row>
  </sheetData>
  <mergeCells count="3">
    <mergeCell ref="A59:D59"/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3" customWidth="1" min="9" max="9"/>
    <col width="15" customWidth="1" min="10" max="10"/>
    <col width="13" customWidth="1" min="11" max="11"/>
    <col width="12" customWidth="1" min="12" max="12"/>
    <col width="9" customWidth="1" min="13" max="13"/>
    <col width="20" customWidth="1" min="14" max="14"/>
  </cols>
  <sheetData>
    <row r="1" ht="30" customHeight="1">
      <c r="A1" s="178" t="inlineStr">
        <is>
          <t>💰  COST ANALYSIS</t>
        </is>
      </c>
    </row>
    <row r="2" ht="18" customHeight="1">
      <c r="A2" s="179" t="inlineStr">
        <is>
          <t>Costs = resource daily rate (RESOURCES) × allocation % × task duration.  Budget from TASKS.  Currency from CONFIG.</t>
        </is>
      </c>
    </row>
    <row r="3" ht="22" customHeight="1">
      <c r="A3" s="180" t="inlineStr">
        <is>
          <t>PROJECT COST SUMMARY</t>
        </is>
      </c>
      <c r="F3" s="180" t="inlineStr">
        <is>
          <t>COST BY RESOURCE</t>
        </is>
      </c>
    </row>
    <row r="4">
      <c r="A4" s="4" t="inlineStr">
        <is>
          <t>Total Budget</t>
        </is>
      </c>
      <c r="B4" s="181">
        <f>CFG_Budget</f>
        <v/>
      </c>
      <c r="F4" s="169" t="inlineStr">
        <is>
          <t>Resource</t>
        </is>
      </c>
      <c r="G4" s="169" t="inlineStr">
        <is>
          <t>Role</t>
        </is>
      </c>
      <c r="H4" s="169" t="inlineStr">
        <is>
          <t>Hourly Rate</t>
        </is>
      </c>
      <c r="I4" s="169" t="inlineStr">
        <is>
          <t>Est. Hours</t>
        </is>
      </c>
      <c r="J4" s="169" t="inlineStr">
        <is>
          <t>Est. Cost</t>
        </is>
      </c>
    </row>
    <row r="5">
      <c r="A5" s="4" t="inlineStr">
        <is>
          <t>Contingency Reserve</t>
        </is>
      </c>
      <c r="B5" s="181">
        <f>CFG_Budget*CFG_Contingency/100</f>
        <v/>
      </c>
      <c r="F5" s="182" t="inlineStr">
        <is>
          <t>Alice Johnson</t>
        </is>
      </c>
      <c r="G5" s="182" t="inlineStr">
        <is>
          <t>Project Manager</t>
        </is>
      </c>
      <c r="H5" s="183" t="n">
        <v>110</v>
      </c>
      <c r="I5" s="184" t="n">
        <v>0</v>
      </c>
      <c r="J5" s="183">
        <f>H5*I5</f>
        <v/>
      </c>
    </row>
    <row r="6">
      <c r="A6" s="4" t="inlineStr">
        <is>
          <t>Adjusted Budget</t>
        </is>
      </c>
      <c r="B6" s="181">
        <f>B4+B5</f>
        <v/>
      </c>
      <c r="F6" s="185" t="inlineStr">
        <is>
          <t>Bob Smith</t>
        </is>
      </c>
      <c r="G6" s="185" t="inlineStr">
        <is>
          <t>Sr. Developer</t>
        </is>
      </c>
      <c r="H6" s="61" t="n">
        <v>120</v>
      </c>
      <c r="I6" s="186" t="n">
        <v>0</v>
      </c>
      <c r="J6" s="61">
        <f>H6*I6</f>
        <v/>
      </c>
    </row>
    <row r="7">
      <c r="A7" s="4" t="inlineStr">
        <is>
          <t>Estimated Resource Cost</t>
        </is>
      </c>
      <c r="B7" s="181">
        <f>SUM(K13:K500)</f>
        <v/>
      </c>
      <c r="F7" s="182" t="inlineStr">
        <is>
          <t>Carol Williams</t>
        </is>
      </c>
      <c r="G7" s="182" t="inlineStr">
        <is>
          <t>UX Designer</t>
        </is>
      </c>
      <c r="H7" s="183" t="n">
        <v>90</v>
      </c>
      <c r="I7" s="184" t="n">
        <v>0</v>
      </c>
      <c r="J7" s="183">
        <f>H7*I7</f>
        <v/>
      </c>
    </row>
    <row r="8">
      <c r="A8" s="4" t="inlineStr">
        <is>
          <t>Estimated Total Cost</t>
        </is>
      </c>
      <c r="B8" s="181">
        <f>B7</f>
        <v/>
      </c>
      <c r="F8" s="185" t="inlineStr">
        <is>
          <t>David Brown</t>
        </is>
      </c>
      <c r="G8" s="185" t="inlineStr">
        <is>
          <t>QA Engineer</t>
        </is>
      </c>
      <c r="H8" s="61" t="n">
        <v>80</v>
      </c>
      <c r="I8" s="186" t="n">
        <v>0</v>
      </c>
      <c r="J8" s="61">
        <f>H8*I8</f>
        <v/>
      </c>
    </row>
    <row r="9">
      <c r="A9" s="4" t="inlineStr">
        <is>
          <t>Budget Variance</t>
        </is>
      </c>
      <c r="B9" s="181">
        <f>B6-B8</f>
        <v/>
      </c>
      <c r="F9" s="182" t="inlineStr">
        <is>
          <t>Eve Davis</t>
        </is>
      </c>
      <c r="G9" s="182" t="inlineStr">
        <is>
          <t>Business Analyst</t>
        </is>
      </c>
      <c r="H9" s="183" t="n">
        <v>95</v>
      </c>
      <c r="I9" s="184" t="n">
        <v>0</v>
      </c>
      <c r="J9" s="183">
        <f>H9*I9</f>
        <v/>
      </c>
    </row>
    <row r="10">
      <c r="A10" s="4" t="inlineStr">
        <is>
          <t>Budget Used %</t>
        </is>
      </c>
      <c r="B10" s="187">
        <f>IFERROR(B8/B6,0)</f>
        <v/>
      </c>
      <c r="F10" s="185" t="inlineStr">
        <is>
          <t>Frank Miller</t>
        </is>
      </c>
      <c r="G10" s="185" t="inlineStr">
        <is>
          <t>Backend Dev</t>
        </is>
      </c>
      <c r="H10" s="61" t="n">
        <v>115</v>
      </c>
      <c r="I10" s="186" t="n">
        <v>0</v>
      </c>
      <c r="J10" s="61">
        <f>H10*I10</f>
        <v/>
      </c>
    </row>
    <row r="11">
      <c r="F11" s="182" t="inlineStr">
        <is>
          <t>Grace Wilson</t>
        </is>
      </c>
      <c r="G11" s="182" t="inlineStr">
        <is>
          <t>Frontend Dev</t>
        </is>
      </c>
      <c r="H11" s="183" t="n">
        <v>100</v>
      </c>
      <c r="I11" s="184" t="n">
        <v>0</v>
      </c>
      <c r="J11" s="183">
        <f>H11*I11</f>
        <v/>
      </c>
    </row>
    <row r="12">
      <c r="A12" s="180" t="inlineStr">
        <is>
          <t>TASK-LEVEL COST BREAKDOWN</t>
        </is>
      </c>
    </row>
    <row r="13">
      <c r="A13" s="169" t="inlineStr">
        <is>
          <t>ID</t>
        </is>
      </c>
      <c r="B13" s="169" t="inlineStr">
        <is>
          <t>WBS</t>
        </is>
      </c>
      <c r="C13" s="169" t="inlineStr">
        <is>
          <t>Task Name</t>
        </is>
      </c>
      <c r="D13" s="169" t="inlineStr">
        <is>
          <t>Type</t>
        </is>
      </c>
      <c r="E13" s="169" t="inlineStr">
        <is>
          <t>Status</t>
        </is>
      </c>
      <c r="F13" s="169" t="inlineStr">
        <is>
          <t>Start</t>
        </is>
      </c>
      <c r="G13" s="169" t="inlineStr">
        <is>
          <t>End</t>
        </is>
      </c>
      <c r="H13" s="169" t="inlineStr">
        <is>
          <t>Days</t>
        </is>
      </c>
      <c r="I13" s="169" t="inlineStr">
        <is>
          <t>Budget</t>
        </is>
      </c>
      <c r="J13" s="169" t="inlineStr">
        <is>
          <t>Resource Cost</t>
        </is>
      </c>
      <c r="K13" s="169" t="inlineStr">
        <is>
          <t>Total Cost</t>
        </is>
      </c>
      <c r="L13" s="169" t="inlineStr">
        <is>
          <t>Variance</t>
        </is>
      </c>
      <c r="M13" s="169" t="inlineStr">
        <is>
          <t>Var %</t>
        </is>
      </c>
      <c r="N13" s="169" t="inlineStr">
        <is>
          <t>Notes</t>
        </is>
      </c>
    </row>
    <row r="14" ht="16" customHeight="1">
      <c r="A14" s="75" t="n">
        <v>1</v>
      </c>
      <c r="B14" s="76" t="inlineStr">
        <is>
          <t>1</t>
        </is>
      </c>
      <c r="C14" s="76" t="inlineStr">
        <is>
          <t>Project Kickoff</t>
        </is>
      </c>
      <c r="D14" s="76" t="inlineStr">
        <is>
          <t>Epic</t>
        </is>
      </c>
      <c r="E14" s="76" t="inlineStr">
        <is>
          <t>Completed</t>
        </is>
      </c>
      <c r="F14" s="78" t="n">
        <v>45663</v>
      </c>
      <c r="G14" s="78" t="n">
        <v>45667</v>
      </c>
      <c r="H14" s="75" t="n">
        <v>5</v>
      </c>
      <c r="I14" s="80" t="n">
        <v>3000</v>
      </c>
      <c r="J14" s="80" t="n">
        <v>4280</v>
      </c>
      <c r="K14" s="80">
        <f>I14+J14</f>
        <v/>
      </c>
      <c r="L14" s="80">
        <f>I14-K14</f>
        <v/>
      </c>
      <c r="M14" s="188">
        <f>IFERROR(L14/I14,"")</f>
        <v/>
      </c>
      <c r="N14" s="76" t="inlineStr"/>
    </row>
    <row r="15" ht="16" customHeight="1">
      <c r="A15" s="189" t="n">
        <v>2</v>
      </c>
      <c r="B15" s="190" t="inlineStr">
        <is>
          <t>1.1</t>
        </is>
      </c>
      <c r="C15" s="190" t="inlineStr">
        <is>
          <t>Requirements Gathering</t>
        </is>
      </c>
      <c r="D15" s="190" t="inlineStr">
        <is>
          <t>Feature</t>
        </is>
      </c>
      <c r="E15" s="190" t="inlineStr">
        <is>
          <t>Completed</t>
        </is>
      </c>
      <c r="F15" s="191" t="n">
        <v>45663</v>
      </c>
      <c r="G15" s="191" t="n">
        <v>45676</v>
      </c>
      <c r="H15" s="189" t="n">
        <v>14</v>
      </c>
      <c r="I15" s="192" t="n">
        <v>8400</v>
      </c>
      <c r="J15" s="192" t="n">
        <v>11984</v>
      </c>
      <c r="K15" s="192">
        <f>I15+J15</f>
        <v/>
      </c>
      <c r="L15" s="192">
        <f>I15-K15</f>
        <v/>
      </c>
      <c r="M15" s="193">
        <f>IFERROR(L15/I15,"")</f>
        <v/>
      </c>
      <c r="N15" s="190" t="inlineStr"/>
    </row>
    <row r="16" ht="16" customHeight="1">
      <c r="A16" s="86" t="n">
        <v>3</v>
      </c>
      <c r="B16" s="87" t="inlineStr">
        <is>
          <t>1.1.1</t>
        </is>
      </c>
      <c r="C16" s="87" t="inlineStr">
        <is>
          <t>Stakeholder Interviews</t>
        </is>
      </c>
      <c r="D16" s="87" t="inlineStr">
        <is>
          <t>Task</t>
        </is>
      </c>
      <c r="E16" s="87" t="inlineStr">
        <is>
          <t>Completed</t>
        </is>
      </c>
      <c r="F16" s="88" t="n">
        <v>45663</v>
      </c>
      <c r="G16" s="88" t="n">
        <v>45669</v>
      </c>
      <c r="H16" s="86" t="n">
        <v>7</v>
      </c>
      <c r="I16" s="90" t="n">
        <v>4200</v>
      </c>
      <c r="J16" s="90" t="n">
        <v>4928</v>
      </c>
      <c r="K16" s="90">
        <f>I16+J16</f>
        <v/>
      </c>
      <c r="L16" s="90">
        <f>I16-K16</f>
        <v/>
      </c>
      <c r="M16" s="194">
        <f>IFERROR(L16/I16,"")</f>
        <v/>
      </c>
      <c r="N16" s="87" t="inlineStr"/>
    </row>
    <row r="17" ht="16" customHeight="1">
      <c r="A17" s="189" t="n">
        <v>4</v>
      </c>
      <c r="B17" s="190" t="inlineStr">
        <is>
          <t>1.1.2</t>
        </is>
      </c>
      <c r="C17" s="190" t="inlineStr">
        <is>
          <t>Document Requirements</t>
        </is>
      </c>
      <c r="D17" s="190" t="inlineStr">
        <is>
          <t>Task</t>
        </is>
      </c>
      <c r="E17" s="190" t="inlineStr">
        <is>
          <t>Completed</t>
        </is>
      </c>
      <c r="F17" s="191" t="n">
        <v>45670</v>
      </c>
      <c r="G17" s="191" t="n">
        <v>45676</v>
      </c>
      <c r="H17" s="189" t="n">
        <v>7</v>
      </c>
      <c r="I17" s="192" t="n">
        <v>4200</v>
      </c>
      <c r="J17" s="192" t="n">
        <v>4256</v>
      </c>
      <c r="K17" s="192">
        <f>I17+J17</f>
        <v/>
      </c>
      <c r="L17" s="192">
        <f>I17-K17</f>
        <v/>
      </c>
      <c r="M17" s="193">
        <f>IFERROR(L17/I17,"")</f>
        <v/>
      </c>
      <c r="N17" s="190" t="inlineStr"/>
    </row>
    <row r="18" ht="16" customHeight="1">
      <c r="A18" s="91" t="n">
        <v>5</v>
      </c>
      <c r="B18" s="92" t="inlineStr">
        <is>
          <t>1.2</t>
        </is>
      </c>
      <c r="C18" s="92" t="inlineStr">
        <is>
          <t>Requirements Sign-off</t>
        </is>
      </c>
      <c r="D18" s="92" t="inlineStr">
        <is>
          <t>Milestone</t>
        </is>
      </c>
      <c r="E18" s="92" t="inlineStr">
        <is>
          <t>Completed</t>
        </is>
      </c>
      <c r="F18" s="94" t="n">
        <v>45677</v>
      </c>
      <c r="G18" s="94" t="n">
        <v>45677</v>
      </c>
      <c r="H18" s="91" t="n">
        <v>1</v>
      </c>
      <c r="I18" s="96" t="n">
        <v>600</v>
      </c>
      <c r="J18" s="96" t="n">
        <v>704</v>
      </c>
      <c r="K18" s="96">
        <f>I18+J18</f>
        <v/>
      </c>
      <c r="L18" s="96">
        <f>I18-K18</f>
        <v/>
      </c>
      <c r="M18" s="195">
        <f>IFERROR(L18/I18,"")</f>
        <v/>
      </c>
      <c r="N18" s="92" t="inlineStr"/>
    </row>
    <row r="19" ht="16" customHeight="1">
      <c r="A19" s="189" t="n">
        <v>6</v>
      </c>
      <c r="B19" s="190" t="inlineStr">
        <is>
          <t>2</t>
        </is>
      </c>
      <c r="C19" s="190" t="inlineStr">
        <is>
          <t>Design Phase</t>
        </is>
      </c>
      <c r="D19" s="190" t="inlineStr">
        <is>
          <t>Epic</t>
        </is>
      </c>
      <c r="E19" s="190" t="inlineStr">
        <is>
          <t>Completed</t>
        </is>
      </c>
      <c r="F19" s="191" t="n">
        <v>45677</v>
      </c>
      <c r="G19" s="191" t="n">
        <v>45704</v>
      </c>
      <c r="H19" s="189" t="n">
        <v>28</v>
      </c>
      <c r="I19" s="192" t="n">
        <v>16800</v>
      </c>
      <c r="J19" s="192" t="n">
        <v>20384</v>
      </c>
      <c r="K19" s="192">
        <f>I19+J19</f>
        <v/>
      </c>
      <c r="L19" s="192">
        <f>I19-K19</f>
        <v/>
      </c>
      <c r="M19" s="193">
        <f>IFERROR(L19/I19,"")</f>
        <v/>
      </c>
      <c r="N19" s="190" t="inlineStr"/>
    </row>
    <row r="20" ht="16" customHeight="1">
      <c r="A20" s="81" t="n">
        <v>7</v>
      </c>
      <c r="B20" s="82" t="inlineStr">
        <is>
          <t>2.1</t>
        </is>
      </c>
      <c r="C20" s="82" t="inlineStr">
        <is>
          <t>UI/UX Design</t>
        </is>
      </c>
      <c r="D20" s="82" t="inlineStr">
        <is>
          <t>Feature</t>
        </is>
      </c>
      <c r="E20" s="82" t="inlineStr">
        <is>
          <t>Completed</t>
        </is>
      </c>
      <c r="F20" s="83" t="n">
        <v>45677</v>
      </c>
      <c r="G20" s="83" t="n">
        <v>45697</v>
      </c>
      <c r="H20" s="81" t="n">
        <v>21</v>
      </c>
      <c r="I20" s="85" t="n">
        <v>12600</v>
      </c>
      <c r="J20" s="85" t="n">
        <v>12096</v>
      </c>
      <c r="K20" s="85">
        <f>I20+J20</f>
        <v/>
      </c>
      <c r="L20" s="85">
        <f>I20-K20</f>
        <v/>
      </c>
      <c r="M20" s="196">
        <f>IFERROR(L20/I20,"")</f>
        <v/>
      </c>
      <c r="N20" s="82" t="inlineStr"/>
    </row>
    <row r="21" ht="16" customHeight="1">
      <c r="A21" s="189" t="n">
        <v>8</v>
      </c>
      <c r="B21" s="190" t="inlineStr">
        <is>
          <t>2.1.1</t>
        </is>
      </c>
      <c r="C21" s="190" t="inlineStr">
        <is>
          <t>Wireframes</t>
        </is>
      </c>
      <c r="D21" s="190" t="inlineStr">
        <is>
          <t>Task</t>
        </is>
      </c>
      <c r="E21" s="190" t="inlineStr">
        <is>
          <t>Completed</t>
        </is>
      </c>
      <c r="F21" s="191" t="n">
        <v>45677</v>
      </c>
      <c r="G21" s="191" t="n">
        <v>45686</v>
      </c>
      <c r="H21" s="189" t="n">
        <v>10</v>
      </c>
      <c r="I21" s="192" t="n">
        <v>6000</v>
      </c>
      <c r="J21" s="192" t="n">
        <v>5760</v>
      </c>
      <c r="K21" s="192">
        <f>I21+J21</f>
        <v/>
      </c>
      <c r="L21" s="192">
        <f>I21-K21</f>
        <v/>
      </c>
      <c r="M21" s="193">
        <f>IFERROR(L21/I21,"")</f>
        <v/>
      </c>
      <c r="N21" s="190" t="inlineStr"/>
    </row>
    <row r="22" ht="16" customHeight="1">
      <c r="A22" s="86" t="n">
        <v>9</v>
      </c>
      <c r="B22" s="87" t="inlineStr">
        <is>
          <t>2.1.2</t>
        </is>
      </c>
      <c r="C22" s="87" t="inlineStr">
        <is>
          <t>Prototypes</t>
        </is>
      </c>
      <c r="D22" s="87" t="inlineStr">
        <is>
          <t>Task</t>
        </is>
      </c>
      <c r="E22" s="87" t="inlineStr">
        <is>
          <t>Completed</t>
        </is>
      </c>
      <c r="F22" s="88" t="n">
        <v>45687</v>
      </c>
      <c r="G22" s="88" t="n">
        <v>45697</v>
      </c>
      <c r="H22" s="86" t="n">
        <v>11</v>
      </c>
      <c r="I22" s="90" t="n">
        <v>6600</v>
      </c>
      <c r="J22" s="90" t="n">
        <v>6336</v>
      </c>
      <c r="K22" s="90">
        <f>I22+J22</f>
        <v/>
      </c>
      <c r="L22" s="90">
        <f>I22-K22</f>
        <v/>
      </c>
      <c r="M22" s="194">
        <f>IFERROR(L22/I22,"")</f>
        <v/>
      </c>
      <c r="N22" s="87" t="inlineStr"/>
    </row>
    <row r="23" ht="16" customHeight="1">
      <c r="A23" s="189" t="n">
        <v>10</v>
      </c>
      <c r="B23" s="190" t="inlineStr">
        <is>
          <t>2.2</t>
        </is>
      </c>
      <c r="C23" s="190" t="inlineStr">
        <is>
          <t>Architecture Design</t>
        </is>
      </c>
      <c r="D23" s="190" t="inlineStr">
        <is>
          <t>Feature</t>
        </is>
      </c>
      <c r="E23" s="190" t="inlineStr">
        <is>
          <t>Completed</t>
        </is>
      </c>
      <c r="F23" s="191" t="n">
        <v>45677</v>
      </c>
      <c r="G23" s="191" t="n">
        <v>45690</v>
      </c>
      <c r="H23" s="189" t="n">
        <v>14</v>
      </c>
      <c r="I23" s="192" t="n">
        <v>8400</v>
      </c>
      <c r="J23" s="192" t="n">
        <v>13328</v>
      </c>
      <c r="K23" s="192">
        <f>I23+J23</f>
        <v/>
      </c>
      <c r="L23" s="192">
        <f>I23-K23</f>
        <v/>
      </c>
      <c r="M23" s="193">
        <f>IFERROR(L23/I23,"")</f>
        <v/>
      </c>
      <c r="N23" s="190" t="inlineStr"/>
    </row>
    <row r="24" ht="16" customHeight="1">
      <c r="A24" s="91" t="n">
        <v>11</v>
      </c>
      <c r="B24" s="92" t="inlineStr">
        <is>
          <t>2.3</t>
        </is>
      </c>
      <c r="C24" s="92" t="inlineStr">
        <is>
          <t>Design Review</t>
        </is>
      </c>
      <c r="D24" s="92" t="inlineStr">
        <is>
          <t>Milestone</t>
        </is>
      </c>
      <c r="E24" s="92" t="inlineStr">
        <is>
          <t>Completed</t>
        </is>
      </c>
      <c r="F24" s="94" t="n">
        <v>45705</v>
      </c>
      <c r="G24" s="94" t="n">
        <v>45705</v>
      </c>
      <c r="H24" s="91" t="n">
        <v>1</v>
      </c>
      <c r="I24" s="96" t="n">
        <v>600</v>
      </c>
      <c r="J24" s="96" t="n">
        <v>704</v>
      </c>
      <c r="K24" s="96">
        <f>I24+J24</f>
        <v/>
      </c>
      <c r="L24" s="96">
        <f>I24-K24</f>
        <v/>
      </c>
      <c r="M24" s="195">
        <f>IFERROR(L24/I24,"")</f>
        <v/>
      </c>
      <c r="N24" s="92" t="inlineStr"/>
    </row>
    <row r="25" ht="16" customHeight="1">
      <c r="A25" s="189" t="n">
        <v>12</v>
      </c>
      <c r="B25" s="190" t="inlineStr">
        <is>
          <t>3</t>
        </is>
      </c>
      <c r="C25" s="190" t="inlineStr">
        <is>
          <t>Development Sprint 1</t>
        </is>
      </c>
      <c r="D25" s="190" t="inlineStr">
        <is>
          <t>Epic</t>
        </is>
      </c>
      <c r="E25" s="190" t="inlineStr">
        <is>
          <t>In Progress</t>
        </is>
      </c>
      <c r="F25" s="191" t="n">
        <v>45705</v>
      </c>
      <c r="G25" s="191" t="n">
        <v>45746</v>
      </c>
      <c r="H25" s="189" t="n">
        <v>42</v>
      </c>
      <c r="I25" s="192" t="n">
        <v>25200</v>
      </c>
      <c r="J25" s="192" t="n">
        <v>46704</v>
      </c>
      <c r="K25" s="192">
        <f>I25+J25</f>
        <v/>
      </c>
      <c r="L25" s="192">
        <f>I25-K25</f>
        <v/>
      </c>
      <c r="M25" s="193">
        <f>IFERROR(L25/I25,"")</f>
        <v/>
      </c>
      <c r="N25" s="190" t="inlineStr"/>
    </row>
    <row r="26" ht="16" customHeight="1">
      <c r="A26" s="81" t="n">
        <v>13</v>
      </c>
      <c r="B26" s="82" t="inlineStr">
        <is>
          <t>3.1</t>
        </is>
      </c>
      <c r="C26" s="82" t="inlineStr">
        <is>
          <t>Backend API Development</t>
        </is>
      </c>
      <c r="D26" s="82" t="inlineStr">
        <is>
          <t>Feature</t>
        </is>
      </c>
      <c r="E26" s="82" t="inlineStr">
        <is>
          <t>In Progress</t>
        </is>
      </c>
      <c r="F26" s="83" t="n">
        <v>45705</v>
      </c>
      <c r="G26" s="83" t="n">
        <v>45732</v>
      </c>
      <c r="H26" s="81" t="n">
        <v>28</v>
      </c>
      <c r="I26" s="85" t="n">
        <v>16800</v>
      </c>
      <c r="J26" s="85" t="n">
        <v>26656</v>
      </c>
      <c r="K26" s="85">
        <f>I26+J26</f>
        <v/>
      </c>
      <c r="L26" s="85">
        <f>I26-K26</f>
        <v/>
      </c>
      <c r="M26" s="196">
        <f>IFERROR(L26/I26,"")</f>
        <v/>
      </c>
      <c r="N26" s="82" t="inlineStr"/>
    </row>
    <row r="27" ht="16" customHeight="1">
      <c r="A27" s="189" t="n">
        <v>14</v>
      </c>
      <c r="B27" s="190" t="inlineStr">
        <is>
          <t>3.1.1</t>
        </is>
      </c>
      <c r="C27" s="190" t="inlineStr">
        <is>
          <t>User Authentication</t>
        </is>
      </c>
      <c r="D27" s="190" t="inlineStr">
        <is>
          <t>Task</t>
        </is>
      </c>
      <c r="E27" s="190" t="inlineStr">
        <is>
          <t>Completed</t>
        </is>
      </c>
      <c r="F27" s="191" t="n">
        <v>45705</v>
      </c>
      <c r="G27" s="191" t="n">
        <v>45714</v>
      </c>
      <c r="H27" s="189" t="n">
        <v>10</v>
      </c>
      <c r="I27" s="192" t="n">
        <v>6000</v>
      </c>
      <c r="J27" s="192" t="n">
        <v>7360</v>
      </c>
      <c r="K27" s="192">
        <f>I27+J27</f>
        <v/>
      </c>
      <c r="L27" s="192">
        <f>I27-K27</f>
        <v/>
      </c>
      <c r="M27" s="193">
        <f>IFERROR(L27/I27,"")</f>
        <v/>
      </c>
      <c r="N27" s="190" t="inlineStr"/>
    </row>
    <row r="28" ht="16" customHeight="1">
      <c r="A28" s="86" t="n">
        <v>15</v>
      </c>
      <c r="B28" s="87" t="inlineStr">
        <is>
          <t>3.1.2</t>
        </is>
      </c>
      <c r="C28" s="87" t="inlineStr">
        <is>
          <t>Data Models</t>
        </is>
      </c>
      <c r="D28" s="87" t="inlineStr">
        <is>
          <t>Task</t>
        </is>
      </c>
      <c r="E28" s="87" t="inlineStr">
        <is>
          <t>Completed</t>
        </is>
      </c>
      <c r="F28" s="88" t="n">
        <v>45715</v>
      </c>
      <c r="G28" s="88" t="n">
        <v>45724</v>
      </c>
      <c r="H28" s="86" t="n">
        <v>10</v>
      </c>
      <c r="I28" s="90" t="n">
        <v>6000</v>
      </c>
      <c r="J28" s="90" t="n">
        <v>7680</v>
      </c>
      <c r="K28" s="90">
        <f>I28+J28</f>
        <v/>
      </c>
      <c r="L28" s="90">
        <f>I28-K28</f>
        <v/>
      </c>
      <c r="M28" s="194">
        <f>IFERROR(L28/I28,"")</f>
        <v/>
      </c>
      <c r="N28" s="87" t="inlineStr"/>
    </row>
    <row r="29" ht="16" customHeight="1">
      <c r="A29" s="189" t="n">
        <v>16</v>
      </c>
      <c r="B29" s="190" t="inlineStr">
        <is>
          <t>3.1.3</t>
        </is>
      </c>
      <c r="C29" s="190" t="inlineStr">
        <is>
          <t>REST API Endpoints</t>
        </is>
      </c>
      <c r="D29" s="190" t="inlineStr">
        <is>
          <t>Task</t>
        </is>
      </c>
      <c r="E29" s="190" t="inlineStr">
        <is>
          <t>In Progress</t>
        </is>
      </c>
      <c r="F29" s="191" t="n">
        <v>45725</v>
      </c>
      <c r="G29" s="191" t="n">
        <v>45732</v>
      </c>
      <c r="H29" s="189" t="n">
        <v>8</v>
      </c>
      <c r="I29" s="192" t="n">
        <v>4800</v>
      </c>
      <c r="J29" s="192" t="n">
        <v>7616</v>
      </c>
      <c r="K29" s="192">
        <f>I29+J29</f>
        <v/>
      </c>
      <c r="L29" s="192">
        <f>I29-K29</f>
        <v/>
      </c>
      <c r="M29" s="193">
        <f>IFERROR(L29/I29,"")</f>
        <v/>
      </c>
      <c r="N29" s="190" t="inlineStr"/>
    </row>
    <row r="30" ht="16" customHeight="1">
      <c r="A30" s="81" t="n">
        <v>17</v>
      </c>
      <c r="B30" s="82" t="inlineStr">
        <is>
          <t>3.2</t>
        </is>
      </c>
      <c r="C30" s="82" t="inlineStr">
        <is>
          <t>Frontend Development</t>
        </is>
      </c>
      <c r="D30" s="82" t="inlineStr">
        <is>
          <t>Feature</t>
        </is>
      </c>
      <c r="E30" s="82" t="inlineStr">
        <is>
          <t>In Progress</t>
        </is>
      </c>
      <c r="F30" s="83" t="n">
        <v>45719</v>
      </c>
      <c r="G30" s="83" t="n">
        <v>45746</v>
      </c>
      <c r="H30" s="81" t="n">
        <v>28</v>
      </c>
      <c r="I30" s="85" t="n">
        <v>16800</v>
      </c>
      <c r="J30" s="85" t="n">
        <v>17920</v>
      </c>
      <c r="K30" s="85">
        <f>I30+J30</f>
        <v/>
      </c>
      <c r="L30" s="85">
        <f>I30-K30</f>
        <v/>
      </c>
      <c r="M30" s="196">
        <f>IFERROR(L30/I30,"")</f>
        <v/>
      </c>
      <c r="N30" s="82" t="inlineStr"/>
    </row>
    <row r="31" ht="16" customHeight="1">
      <c r="A31" s="189" t="n">
        <v>18</v>
      </c>
      <c r="B31" s="190" t="inlineStr">
        <is>
          <t>3.2.1</t>
        </is>
      </c>
      <c r="C31" s="190" t="inlineStr">
        <is>
          <t>Component Library</t>
        </is>
      </c>
      <c r="D31" s="190" t="inlineStr">
        <is>
          <t>Task</t>
        </is>
      </c>
      <c r="E31" s="190" t="inlineStr">
        <is>
          <t>Completed</t>
        </is>
      </c>
      <c r="F31" s="191" t="n">
        <v>45719</v>
      </c>
      <c r="G31" s="191" t="n">
        <v>45732</v>
      </c>
      <c r="H31" s="189" t="n">
        <v>14</v>
      </c>
      <c r="I31" s="192" t="n">
        <v>8400</v>
      </c>
      <c r="J31" s="192" t="n">
        <v>8960</v>
      </c>
      <c r="K31" s="192">
        <f>I31+J31</f>
        <v/>
      </c>
      <c r="L31" s="192">
        <f>I31-K31</f>
        <v/>
      </c>
      <c r="M31" s="193">
        <f>IFERROR(L31/I31,"")</f>
        <v/>
      </c>
      <c r="N31" s="190" t="inlineStr"/>
    </row>
    <row r="32" ht="16" customHeight="1">
      <c r="A32" s="86" t="n">
        <v>19</v>
      </c>
      <c r="B32" s="87" t="inlineStr">
        <is>
          <t>3.2.2</t>
        </is>
      </c>
      <c r="C32" s="87" t="inlineStr">
        <is>
          <t>Dashboard Views</t>
        </is>
      </c>
      <c r="D32" s="87" t="inlineStr">
        <is>
          <t>Task</t>
        </is>
      </c>
      <c r="E32" s="87" t="inlineStr">
        <is>
          <t>In Progress</t>
        </is>
      </c>
      <c r="F32" s="88" t="n">
        <v>45733</v>
      </c>
      <c r="G32" s="88" t="n">
        <v>45746</v>
      </c>
      <c r="H32" s="86" t="n">
        <v>14</v>
      </c>
      <c r="I32" s="90" t="n">
        <v>8400</v>
      </c>
      <c r="J32" s="90" t="n">
        <v>8960</v>
      </c>
      <c r="K32" s="90">
        <f>I32+J32</f>
        <v/>
      </c>
      <c r="L32" s="90">
        <f>I32-K32</f>
        <v/>
      </c>
      <c r="M32" s="194">
        <f>IFERROR(L32/I32,"")</f>
        <v/>
      </c>
      <c r="N32" s="87" t="inlineStr"/>
    </row>
    <row r="33" ht="16" customHeight="1">
      <c r="A33" s="189" t="n">
        <v>20</v>
      </c>
      <c r="B33" s="190" t="inlineStr">
        <is>
          <t>3.3</t>
        </is>
      </c>
      <c r="C33" s="190" t="inlineStr">
        <is>
          <t>Sprint 1 Review</t>
        </is>
      </c>
      <c r="D33" s="190" t="inlineStr">
        <is>
          <t>Milestone</t>
        </is>
      </c>
      <c r="E33" s="190" t="inlineStr">
        <is>
          <t>Planned</t>
        </is>
      </c>
      <c r="F33" s="191" t="n">
        <v>45747</v>
      </c>
      <c r="G33" s="191" t="n">
        <v>45747</v>
      </c>
      <c r="H33" s="189" t="n">
        <v>1</v>
      </c>
      <c r="I33" s="192" t="n">
        <v>600</v>
      </c>
      <c r="J33" s="192" t="n">
        <v>704</v>
      </c>
      <c r="K33" s="192">
        <f>I33+J33</f>
        <v/>
      </c>
      <c r="L33" s="192">
        <f>I33-K33</f>
        <v/>
      </c>
      <c r="M33" s="193">
        <f>IFERROR(L33/I33,"")</f>
        <v/>
      </c>
      <c r="N33" s="190" t="inlineStr"/>
    </row>
    <row r="34" ht="16" customHeight="1">
      <c r="A34" s="75" t="n">
        <v>21</v>
      </c>
      <c r="B34" s="76" t="inlineStr">
        <is>
          <t>4</t>
        </is>
      </c>
      <c r="C34" s="76" t="inlineStr">
        <is>
          <t>Development Sprint 2</t>
        </is>
      </c>
      <c r="D34" s="76" t="inlineStr">
        <is>
          <t>Epic</t>
        </is>
      </c>
      <c r="E34" s="76" t="inlineStr">
        <is>
          <t>Planned</t>
        </is>
      </c>
      <c r="F34" s="78" t="n">
        <v>45747</v>
      </c>
      <c r="G34" s="78" t="n">
        <v>45788</v>
      </c>
      <c r="H34" s="75" t="n">
        <v>42</v>
      </c>
      <c r="I34" s="80" t="n">
        <v>25200</v>
      </c>
      <c r="J34" s="80" t="n">
        <v>46704</v>
      </c>
      <c r="K34" s="80">
        <f>I34+J34</f>
        <v/>
      </c>
      <c r="L34" s="80">
        <f>I34-K34</f>
        <v/>
      </c>
      <c r="M34" s="188">
        <f>IFERROR(L34/I34,"")</f>
        <v/>
      </c>
      <c r="N34" s="76" t="inlineStr"/>
    </row>
    <row r="35" ht="16" customHeight="1">
      <c r="A35" s="189" t="n">
        <v>22</v>
      </c>
      <c r="B35" s="190" t="inlineStr">
        <is>
          <t>4.1</t>
        </is>
      </c>
      <c r="C35" s="190" t="inlineStr">
        <is>
          <t>Integration Development</t>
        </is>
      </c>
      <c r="D35" s="190" t="inlineStr">
        <is>
          <t>Feature</t>
        </is>
      </c>
      <c r="E35" s="190" t="inlineStr">
        <is>
          <t>Planned</t>
        </is>
      </c>
      <c r="F35" s="191" t="n">
        <v>45747</v>
      </c>
      <c r="G35" s="191" t="n">
        <v>45767</v>
      </c>
      <c r="H35" s="189" t="n">
        <v>21</v>
      </c>
      <c r="I35" s="192" t="n">
        <v>12600</v>
      </c>
      <c r="J35" s="192" t="n">
        <v>19488</v>
      </c>
      <c r="K35" s="192">
        <f>I35+J35</f>
        <v/>
      </c>
      <c r="L35" s="192">
        <f>I35-K35</f>
        <v/>
      </c>
      <c r="M35" s="193">
        <f>IFERROR(L35/I35,"")</f>
        <v/>
      </c>
      <c r="N35" s="190" t="inlineStr"/>
    </row>
    <row r="36" ht="16" customHeight="1">
      <c r="A36" s="81" t="n">
        <v>23</v>
      </c>
      <c r="B36" s="82" t="inlineStr">
        <is>
          <t>4.2</t>
        </is>
      </c>
      <c r="C36" s="82" t="inlineStr">
        <is>
          <t>Performance Optimization</t>
        </is>
      </c>
      <c r="D36" s="82" t="inlineStr">
        <is>
          <t>Feature</t>
        </is>
      </c>
      <c r="E36" s="82" t="inlineStr">
        <is>
          <t>Planned</t>
        </is>
      </c>
      <c r="F36" s="83" t="n">
        <v>45768</v>
      </c>
      <c r="G36" s="83" t="n">
        <v>45788</v>
      </c>
      <c r="H36" s="81" t="n">
        <v>21</v>
      </c>
      <c r="I36" s="85" t="n">
        <v>12600</v>
      </c>
      <c r="J36" s="85" t="n">
        <v>15456</v>
      </c>
      <c r="K36" s="85">
        <f>I36+J36</f>
        <v/>
      </c>
      <c r="L36" s="85">
        <f>I36-K36</f>
        <v/>
      </c>
      <c r="M36" s="196">
        <f>IFERROR(L36/I36,"")</f>
        <v/>
      </c>
      <c r="N36" s="82" t="inlineStr"/>
    </row>
    <row r="37" ht="16" customHeight="1">
      <c r="A37" s="189" t="n">
        <v>24</v>
      </c>
      <c r="B37" s="190" t="inlineStr">
        <is>
          <t>4.3</t>
        </is>
      </c>
      <c r="C37" s="190" t="inlineStr">
        <is>
          <t>Sprint 2 Deliverable</t>
        </is>
      </c>
      <c r="D37" s="190" t="inlineStr">
        <is>
          <t>Deliverable</t>
        </is>
      </c>
      <c r="E37" s="190" t="inlineStr">
        <is>
          <t>Planned</t>
        </is>
      </c>
      <c r="F37" s="191" t="n">
        <v>45789</v>
      </c>
      <c r="G37" s="191" t="n">
        <v>45789</v>
      </c>
      <c r="H37" s="189" t="n">
        <v>1</v>
      </c>
      <c r="I37" s="192" t="n">
        <v>600</v>
      </c>
      <c r="J37" s="192" t="n">
        <v>704</v>
      </c>
      <c r="K37" s="192">
        <f>I37+J37</f>
        <v/>
      </c>
      <c r="L37" s="192">
        <f>I37-K37</f>
        <v/>
      </c>
      <c r="M37" s="193">
        <f>IFERROR(L37/I37,"")</f>
        <v/>
      </c>
      <c r="N37" s="190" t="inlineStr"/>
    </row>
    <row r="38" ht="16" customHeight="1">
      <c r="A38" s="75" t="n">
        <v>25</v>
      </c>
      <c r="B38" s="76" t="inlineStr">
        <is>
          <t>5</t>
        </is>
      </c>
      <c r="C38" s="76" t="inlineStr">
        <is>
          <t>Testing &amp; QA</t>
        </is>
      </c>
      <c r="D38" s="76" t="inlineStr">
        <is>
          <t>Epic</t>
        </is>
      </c>
      <c r="E38" s="76" t="inlineStr">
        <is>
          <t>Planned</t>
        </is>
      </c>
      <c r="F38" s="78" t="n">
        <v>45783</v>
      </c>
      <c r="G38" s="78" t="n">
        <v>45810</v>
      </c>
      <c r="H38" s="75" t="n">
        <v>28</v>
      </c>
      <c r="I38" s="80" t="n">
        <v>16800</v>
      </c>
      <c r="J38" s="80" t="n">
        <v>19712</v>
      </c>
      <c r="K38" s="80">
        <f>I38+J38</f>
        <v/>
      </c>
      <c r="L38" s="80">
        <f>I38-K38</f>
        <v/>
      </c>
      <c r="M38" s="188">
        <f>IFERROR(L38/I38,"")</f>
        <v/>
      </c>
      <c r="N38" s="76" t="inlineStr"/>
    </row>
    <row r="39" ht="16" customHeight="1">
      <c r="A39" s="189" t="n">
        <v>26</v>
      </c>
      <c r="B39" s="190" t="inlineStr">
        <is>
          <t>5.1</t>
        </is>
      </c>
      <c r="C39" s="190" t="inlineStr">
        <is>
          <t>Unit Testing</t>
        </is>
      </c>
      <c r="D39" s="190" t="inlineStr">
        <is>
          <t>Feature</t>
        </is>
      </c>
      <c r="E39" s="190" t="inlineStr">
        <is>
          <t>Planned</t>
        </is>
      </c>
      <c r="F39" s="191" t="n">
        <v>45783</v>
      </c>
      <c r="G39" s="191" t="n">
        <v>45796</v>
      </c>
      <c r="H39" s="189" t="n">
        <v>14</v>
      </c>
      <c r="I39" s="192" t="n">
        <v>8400</v>
      </c>
      <c r="J39" s="192" t="n">
        <v>10752</v>
      </c>
      <c r="K39" s="192">
        <f>I39+J39</f>
        <v/>
      </c>
      <c r="L39" s="192">
        <f>I39-K39</f>
        <v/>
      </c>
      <c r="M39" s="193">
        <f>IFERROR(L39/I39,"")</f>
        <v/>
      </c>
      <c r="N39" s="190" t="inlineStr"/>
    </row>
    <row r="40" ht="16" customHeight="1">
      <c r="A40" s="81" t="n">
        <v>27</v>
      </c>
      <c r="B40" s="82" t="inlineStr">
        <is>
          <t>5.2</t>
        </is>
      </c>
      <c r="C40" s="82" t="inlineStr">
        <is>
          <t>Integration Testing</t>
        </is>
      </c>
      <c r="D40" s="82" t="inlineStr">
        <is>
          <t>Feature</t>
        </is>
      </c>
      <c r="E40" s="82" t="inlineStr">
        <is>
          <t>Planned</t>
        </is>
      </c>
      <c r="F40" s="83" t="n">
        <v>45797</v>
      </c>
      <c r="G40" s="83" t="n">
        <v>45810</v>
      </c>
      <c r="H40" s="81" t="n">
        <v>14</v>
      </c>
      <c r="I40" s="85" t="n">
        <v>8400</v>
      </c>
      <c r="J40" s="85" t="n">
        <v>7168</v>
      </c>
      <c r="K40" s="85">
        <f>I40+J40</f>
        <v/>
      </c>
      <c r="L40" s="85">
        <f>I40-K40</f>
        <v/>
      </c>
      <c r="M40" s="196">
        <f>IFERROR(L40/I40,"")</f>
        <v/>
      </c>
      <c r="N40" s="82" t="inlineStr"/>
    </row>
    <row r="41" ht="16" customHeight="1">
      <c r="A41" s="189" t="n">
        <v>28</v>
      </c>
      <c r="B41" s="190" t="inlineStr">
        <is>
          <t>5.3</t>
        </is>
      </c>
      <c r="C41" s="190" t="inlineStr">
        <is>
          <t>UAT</t>
        </is>
      </c>
      <c r="D41" s="190" t="inlineStr">
        <is>
          <t>Feature</t>
        </is>
      </c>
      <c r="E41" s="190" t="inlineStr">
        <is>
          <t>Planned</t>
        </is>
      </c>
      <c r="F41" s="191" t="n">
        <v>45811</v>
      </c>
      <c r="G41" s="191" t="n">
        <v>45820</v>
      </c>
      <c r="H41" s="189" t="n">
        <v>10</v>
      </c>
      <c r="I41" s="192" t="n">
        <v>6000</v>
      </c>
      <c r="J41" s="192" t="n">
        <v>9840</v>
      </c>
      <c r="K41" s="192">
        <f>I41+J41</f>
        <v/>
      </c>
      <c r="L41" s="192">
        <f>I41-K41</f>
        <v/>
      </c>
      <c r="M41" s="193">
        <f>IFERROR(L41/I41,"")</f>
        <v/>
      </c>
      <c r="N41" s="190" t="inlineStr"/>
    </row>
    <row r="42" ht="16" customHeight="1">
      <c r="A42" s="91" t="n">
        <v>29</v>
      </c>
      <c r="B42" s="92" t="inlineStr">
        <is>
          <t>5.4</t>
        </is>
      </c>
      <c r="C42" s="92" t="inlineStr">
        <is>
          <t>Testing Sign-off</t>
        </is>
      </c>
      <c r="D42" s="92" t="inlineStr">
        <is>
          <t>Milestone</t>
        </is>
      </c>
      <c r="E42" s="92" t="inlineStr">
        <is>
          <t>Planned</t>
        </is>
      </c>
      <c r="F42" s="94" t="n">
        <v>45821</v>
      </c>
      <c r="G42" s="94" t="n">
        <v>45821</v>
      </c>
      <c r="H42" s="91" t="n">
        <v>1</v>
      </c>
      <c r="I42" s="96" t="n">
        <v>600</v>
      </c>
      <c r="J42" s="96" t="n">
        <v>704</v>
      </c>
      <c r="K42" s="96">
        <f>I42+J42</f>
        <v/>
      </c>
      <c r="L42" s="96">
        <f>I42-K42</f>
        <v/>
      </c>
      <c r="M42" s="195">
        <f>IFERROR(L42/I42,"")</f>
        <v/>
      </c>
      <c r="N42" s="92" t="inlineStr"/>
    </row>
    <row r="43" ht="16" customHeight="1">
      <c r="A43" s="189" t="n">
        <v>30</v>
      </c>
      <c r="B43" s="190" t="inlineStr">
        <is>
          <t>6</t>
        </is>
      </c>
      <c r="C43" s="190" t="inlineStr">
        <is>
          <t>Deployment</t>
        </is>
      </c>
      <c r="D43" s="190" t="inlineStr">
        <is>
          <t>Epic</t>
        </is>
      </c>
      <c r="E43" s="190" t="inlineStr">
        <is>
          <t>Planned</t>
        </is>
      </c>
      <c r="F43" s="191" t="n">
        <v>45821</v>
      </c>
      <c r="G43" s="191" t="n">
        <v>45834</v>
      </c>
      <c r="H43" s="189" t="n">
        <v>14</v>
      </c>
      <c r="I43" s="192" t="n">
        <v>8400</v>
      </c>
      <c r="J43" s="192" t="n">
        <v>14336</v>
      </c>
      <c r="K43" s="192">
        <f>I43+J43</f>
        <v/>
      </c>
      <c r="L43" s="192">
        <f>I43-K43</f>
        <v/>
      </c>
      <c r="M43" s="193">
        <f>IFERROR(L43/I43,"")</f>
        <v/>
      </c>
      <c r="N43" s="190" t="inlineStr"/>
    </row>
    <row r="44" ht="16" customHeight="1">
      <c r="A44" s="86" t="n">
        <v>31</v>
      </c>
      <c r="B44" s="87" t="inlineStr">
        <is>
          <t>6.1</t>
        </is>
      </c>
      <c r="C44" s="87" t="inlineStr">
        <is>
          <t>Staging Deployment</t>
        </is>
      </c>
      <c r="D44" s="87" t="inlineStr">
        <is>
          <t>Task</t>
        </is>
      </c>
      <c r="E44" s="87" t="inlineStr">
        <is>
          <t>Planned</t>
        </is>
      </c>
      <c r="F44" s="88" t="n">
        <v>45821</v>
      </c>
      <c r="G44" s="88" t="n">
        <v>45827</v>
      </c>
      <c r="H44" s="86" t="n">
        <v>7</v>
      </c>
      <c r="I44" s="90" t="n">
        <v>4200</v>
      </c>
      <c r="J44" s="90" t="n">
        <v>5824</v>
      </c>
      <c r="K44" s="90">
        <f>I44+J44</f>
        <v/>
      </c>
      <c r="L44" s="90">
        <f>I44-K44</f>
        <v/>
      </c>
      <c r="M44" s="194">
        <f>IFERROR(L44/I44,"")</f>
        <v/>
      </c>
      <c r="N44" s="87" t="inlineStr"/>
    </row>
    <row r="45" ht="16" customHeight="1">
      <c r="A45" s="189" t="n">
        <v>32</v>
      </c>
      <c r="B45" s="190" t="inlineStr">
        <is>
          <t>6.2</t>
        </is>
      </c>
      <c r="C45" s="190" t="inlineStr">
        <is>
          <t>Production Deployment</t>
        </is>
      </c>
      <c r="D45" s="190" t="inlineStr">
        <is>
          <t>Deliverable</t>
        </is>
      </c>
      <c r="E45" s="190" t="inlineStr">
        <is>
          <t>Planned</t>
        </is>
      </c>
      <c r="F45" s="191" t="n">
        <v>45828</v>
      </c>
      <c r="G45" s="191" t="n">
        <v>45830</v>
      </c>
      <c r="H45" s="189" t="n">
        <v>3</v>
      </c>
      <c r="I45" s="192" t="n">
        <v>1800</v>
      </c>
      <c r="J45" s="192" t="n">
        <v>3024</v>
      </c>
      <c r="K45" s="192">
        <f>I45+J45</f>
        <v/>
      </c>
      <c r="L45" s="192">
        <f>I45-K45</f>
        <v/>
      </c>
      <c r="M45" s="193">
        <f>IFERROR(L45/I45,"")</f>
        <v/>
      </c>
      <c r="N45" s="190" t="inlineStr"/>
    </row>
    <row r="46" ht="16" customHeight="1">
      <c r="A46" s="91" t="n">
        <v>33</v>
      </c>
      <c r="B46" s="92" t="inlineStr">
        <is>
          <t>6.3</t>
        </is>
      </c>
      <c r="C46" s="92" t="inlineStr">
        <is>
          <t>Go Live</t>
        </is>
      </c>
      <c r="D46" s="92" t="inlineStr">
        <is>
          <t>Milestone</t>
        </is>
      </c>
      <c r="E46" s="92" t="inlineStr">
        <is>
          <t>Planned</t>
        </is>
      </c>
      <c r="F46" s="94" t="n">
        <v>45831</v>
      </c>
      <c r="G46" s="94" t="n">
        <v>45831</v>
      </c>
      <c r="H46" s="91" t="n">
        <v>1</v>
      </c>
      <c r="I46" s="96" t="n">
        <v>600</v>
      </c>
      <c r="J46" s="96" t="n">
        <v>704</v>
      </c>
      <c r="K46" s="96">
        <f>I46+J46</f>
        <v/>
      </c>
      <c r="L46" s="96">
        <f>I46-K46</f>
        <v/>
      </c>
      <c r="M46" s="195">
        <f>IFERROR(L46/I46,"")</f>
        <v/>
      </c>
      <c r="N46" s="92" t="inlineStr"/>
    </row>
    <row r="47" ht="16" customHeight="1">
      <c r="A47" s="189" t="n">
        <v>34</v>
      </c>
      <c r="B47" s="190" t="inlineStr">
        <is>
          <t>7</t>
        </is>
      </c>
      <c r="C47" s="190" t="inlineStr">
        <is>
          <t>Post-Launch Support</t>
        </is>
      </c>
      <c r="D47" s="190" t="inlineStr">
        <is>
          <t>Feature</t>
        </is>
      </c>
      <c r="E47" s="190" t="inlineStr">
        <is>
          <t>Planned</t>
        </is>
      </c>
      <c r="F47" s="191" t="n">
        <v>45832</v>
      </c>
      <c r="G47" s="191" t="n">
        <v>45845</v>
      </c>
      <c r="H47" s="189" t="n">
        <v>14</v>
      </c>
      <c r="I47" s="192" t="n">
        <v>8400</v>
      </c>
      <c r="J47" s="192" t="n">
        <v>12544</v>
      </c>
      <c r="K47" s="192">
        <f>I47+J47</f>
        <v/>
      </c>
      <c r="L47" s="192">
        <f>I47-K47</f>
        <v/>
      </c>
      <c r="M47" s="193">
        <f>IFERROR(L47/I47,"")</f>
        <v/>
      </c>
      <c r="N47" s="190" t="inlineStr"/>
    </row>
    <row r="48" ht="16" customHeight="1">
      <c r="A48" s="97" t="n">
        <v>35</v>
      </c>
      <c r="B48" s="98" t="inlineStr">
        <is>
          <t>7.1</t>
        </is>
      </c>
      <c r="C48" s="98" t="inlineStr">
        <is>
          <t>Project Closure Report</t>
        </is>
      </c>
      <c r="D48" s="98" t="inlineStr">
        <is>
          <t>Deliverable</t>
        </is>
      </c>
      <c r="E48" s="98" t="inlineStr">
        <is>
          <t>Planned</t>
        </is>
      </c>
      <c r="F48" s="100" t="n">
        <v>45846</v>
      </c>
      <c r="G48" s="100" t="n">
        <v>45852</v>
      </c>
      <c r="H48" s="97" t="n">
        <v>7</v>
      </c>
      <c r="I48" s="102" t="n">
        <v>4200</v>
      </c>
      <c r="J48" s="102" t="n">
        <v>5992</v>
      </c>
      <c r="K48" s="102">
        <f>I48+J48</f>
        <v/>
      </c>
      <c r="L48" s="102">
        <f>I48-K48</f>
        <v/>
      </c>
      <c r="M48" s="197">
        <f>IFERROR(L48/I48,"")</f>
        <v/>
      </c>
      <c r="N48" s="98" t="inlineStr"/>
    </row>
    <row r="49">
      <c r="C49" s="198" t="inlineStr">
        <is>
          <t>TOTAL</t>
        </is>
      </c>
      <c r="I49" s="199">
        <f>SUM(I14:I48)</f>
        <v/>
      </c>
      <c r="J49" s="199">
        <f>SUM(J14:J48)</f>
        <v/>
      </c>
      <c r="K49" s="199">
        <f>SUM(K14:K48)</f>
        <v/>
      </c>
      <c r="L49" s="199">
        <f>SUM(L14:L48)</f>
        <v/>
      </c>
    </row>
  </sheetData>
  <mergeCells count="5">
    <mergeCell ref="F3:J3"/>
    <mergeCell ref="A12:N12"/>
    <mergeCell ref="A3:D3"/>
    <mergeCell ref="A2:N2"/>
    <mergeCell ref="A1:N1"/>
  </mergeCells>
  <conditionalFormatting sqref="B9">
    <cfRule type="expression" priority="1" dxfId="17">
      <formula>$B$9&gt;=0</formula>
    </cfRule>
    <cfRule type="expression" priority="2" dxfId="16">
      <formula>$B$9&lt;0</formula>
    </cfRule>
  </conditionalFormatting>
  <conditionalFormatting sqref="L14">
    <cfRule type="expression" priority="3" dxfId="13">
      <formula>$L14&lt;0</formula>
    </cfRule>
    <cfRule type="expression" priority="4" dxfId="12">
      <formula>$L14&gt;0</formula>
    </cfRule>
  </conditionalFormatting>
  <conditionalFormatting sqref="L15">
    <cfRule type="expression" priority="5" dxfId="13">
      <formula>$L15&lt;0</formula>
    </cfRule>
    <cfRule type="expression" priority="6" dxfId="12">
      <formula>$L15&gt;0</formula>
    </cfRule>
  </conditionalFormatting>
  <conditionalFormatting sqref="L16">
    <cfRule type="expression" priority="7" dxfId="13">
      <formula>$L16&lt;0</formula>
    </cfRule>
    <cfRule type="expression" priority="8" dxfId="12">
      <formula>$L16&gt;0</formula>
    </cfRule>
  </conditionalFormatting>
  <conditionalFormatting sqref="L17">
    <cfRule type="expression" priority="9" dxfId="13">
      <formula>$L17&lt;0</formula>
    </cfRule>
    <cfRule type="expression" priority="10" dxfId="12">
      <formula>$L17&gt;0</formula>
    </cfRule>
  </conditionalFormatting>
  <conditionalFormatting sqref="L18">
    <cfRule type="expression" priority="11" dxfId="13">
      <formula>$L18&lt;0</formula>
    </cfRule>
    <cfRule type="expression" priority="12" dxfId="12">
      <formula>$L18&gt;0</formula>
    </cfRule>
  </conditionalFormatting>
  <conditionalFormatting sqref="L19">
    <cfRule type="expression" priority="13" dxfId="13">
      <formula>$L19&lt;0</formula>
    </cfRule>
    <cfRule type="expression" priority="14" dxfId="12">
      <formula>$L19&gt;0</formula>
    </cfRule>
  </conditionalFormatting>
  <conditionalFormatting sqref="L20">
    <cfRule type="expression" priority="15" dxfId="13">
      <formula>$L20&lt;0</formula>
    </cfRule>
    <cfRule type="expression" priority="16" dxfId="12">
      <formula>$L20&gt;0</formula>
    </cfRule>
  </conditionalFormatting>
  <conditionalFormatting sqref="L21">
    <cfRule type="expression" priority="17" dxfId="13">
      <formula>$L21&lt;0</formula>
    </cfRule>
    <cfRule type="expression" priority="18" dxfId="12">
      <formula>$L21&gt;0</formula>
    </cfRule>
  </conditionalFormatting>
  <conditionalFormatting sqref="L22">
    <cfRule type="expression" priority="19" dxfId="13">
      <formula>$L22&lt;0</formula>
    </cfRule>
    <cfRule type="expression" priority="20" dxfId="12">
      <formula>$L22&gt;0</formula>
    </cfRule>
  </conditionalFormatting>
  <conditionalFormatting sqref="L23">
    <cfRule type="expression" priority="21" dxfId="13">
      <formula>$L23&lt;0</formula>
    </cfRule>
    <cfRule type="expression" priority="22" dxfId="12">
      <formula>$L23&gt;0</formula>
    </cfRule>
  </conditionalFormatting>
  <conditionalFormatting sqref="L24">
    <cfRule type="expression" priority="23" dxfId="13">
      <formula>$L24&lt;0</formula>
    </cfRule>
    <cfRule type="expression" priority="24" dxfId="12">
      <formula>$L24&gt;0</formula>
    </cfRule>
  </conditionalFormatting>
  <conditionalFormatting sqref="L25">
    <cfRule type="expression" priority="25" dxfId="13">
      <formula>$L25&lt;0</formula>
    </cfRule>
    <cfRule type="expression" priority="26" dxfId="12">
      <formula>$L25&gt;0</formula>
    </cfRule>
  </conditionalFormatting>
  <conditionalFormatting sqref="L26">
    <cfRule type="expression" priority="27" dxfId="13">
      <formula>$L26&lt;0</formula>
    </cfRule>
    <cfRule type="expression" priority="28" dxfId="12">
      <formula>$L26&gt;0</formula>
    </cfRule>
  </conditionalFormatting>
  <conditionalFormatting sqref="L27">
    <cfRule type="expression" priority="29" dxfId="13">
      <formula>$L27&lt;0</formula>
    </cfRule>
    <cfRule type="expression" priority="30" dxfId="12">
      <formula>$L27&gt;0</formula>
    </cfRule>
  </conditionalFormatting>
  <conditionalFormatting sqref="L28">
    <cfRule type="expression" priority="31" dxfId="13">
      <formula>$L28&lt;0</formula>
    </cfRule>
    <cfRule type="expression" priority="32" dxfId="12">
      <formula>$L28&gt;0</formula>
    </cfRule>
  </conditionalFormatting>
  <conditionalFormatting sqref="L29">
    <cfRule type="expression" priority="33" dxfId="13">
      <formula>$L29&lt;0</formula>
    </cfRule>
    <cfRule type="expression" priority="34" dxfId="12">
      <formula>$L29&gt;0</formula>
    </cfRule>
  </conditionalFormatting>
  <conditionalFormatting sqref="L30">
    <cfRule type="expression" priority="35" dxfId="13">
      <formula>$L30&lt;0</formula>
    </cfRule>
    <cfRule type="expression" priority="36" dxfId="12">
      <formula>$L30&gt;0</formula>
    </cfRule>
  </conditionalFormatting>
  <conditionalFormatting sqref="L31">
    <cfRule type="expression" priority="37" dxfId="13">
      <formula>$L31&lt;0</formula>
    </cfRule>
    <cfRule type="expression" priority="38" dxfId="12">
      <formula>$L31&gt;0</formula>
    </cfRule>
  </conditionalFormatting>
  <conditionalFormatting sqref="L32">
    <cfRule type="expression" priority="39" dxfId="13">
      <formula>$L32&lt;0</formula>
    </cfRule>
    <cfRule type="expression" priority="40" dxfId="12">
      <formula>$L32&gt;0</formula>
    </cfRule>
  </conditionalFormatting>
  <conditionalFormatting sqref="L33">
    <cfRule type="expression" priority="41" dxfId="13">
      <formula>$L33&lt;0</formula>
    </cfRule>
    <cfRule type="expression" priority="42" dxfId="12">
      <formula>$L33&gt;0</formula>
    </cfRule>
  </conditionalFormatting>
  <conditionalFormatting sqref="L34">
    <cfRule type="expression" priority="43" dxfId="13">
      <formula>$L34&lt;0</formula>
    </cfRule>
    <cfRule type="expression" priority="44" dxfId="12">
      <formula>$L34&gt;0</formula>
    </cfRule>
  </conditionalFormatting>
  <conditionalFormatting sqref="L35">
    <cfRule type="expression" priority="45" dxfId="13">
      <formula>$L35&lt;0</formula>
    </cfRule>
    <cfRule type="expression" priority="46" dxfId="12">
      <formula>$L35&gt;0</formula>
    </cfRule>
  </conditionalFormatting>
  <conditionalFormatting sqref="L36">
    <cfRule type="expression" priority="47" dxfId="13">
      <formula>$L36&lt;0</formula>
    </cfRule>
    <cfRule type="expression" priority="48" dxfId="12">
      <formula>$L36&gt;0</formula>
    </cfRule>
  </conditionalFormatting>
  <conditionalFormatting sqref="L37">
    <cfRule type="expression" priority="49" dxfId="13">
      <formula>$L37&lt;0</formula>
    </cfRule>
    <cfRule type="expression" priority="50" dxfId="12">
      <formula>$L37&gt;0</formula>
    </cfRule>
  </conditionalFormatting>
  <conditionalFormatting sqref="L38">
    <cfRule type="expression" priority="51" dxfId="13">
      <formula>$L38&lt;0</formula>
    </cfRule>
    <cfRule type="expression" priority="52" dxfId="12">
      <formula>$L38&gt;0</formula>
    </cfRule>
  </conditionalFormatting>
  <conditionalFormatting sqref="L39">
    <cfRule type="expression" priority="53" dxfId="13">
      <formula>$L39&lt;0</formula>
    </cfRule>
    <cfRule type="expression" priority="54" dxfId="12">
      <formula>$L39&gt;0</formula>
    </cfRule>
  </conditionalFormatting>
  <conditionalFormatting sqref="L40">
    <cfRule type="expression" priority="55" dxfId="13">
      <formula>$L40&lt;0</formula>
    </cfRule>
    <cfRule type="expression" priority="56" dxfId="12">
      <formula>$L40&gt;0</formula>
    </cfRule>
  </conditionalFormatting>
  <conditionalFormatting sqref="L41">
    <cfRule type="expression" priority="57" dxfId="13">
      <formula>$L41&lt;0</formula>
    </cfRule>
    <cfRule type="expression" priority="58" dxfId="12">
      <formula>$L41&gt;0</formula>
    </cfRule>
  </conditionalFormatting>
  <conditionalFormatting sqref="L42">
    <cfRule type="expression" priority="59" dxfId="13">
      <formula>$L42&lt;0</formula>
    </cfRule>
    <cfRule type="expression" priority="60" dxfId="12">
      <formula>$L42&gt;0</formula>
    </cfRule>
  </conditionalFormatting>
  <conditionalFormatting sqref="L43">
    <cfRule type="expression" priority="61" dxfId="13">
      <formula>$L43&lt;0</formula>
    </cfRule>
    <cfRule type="expression" priority="62" dxfId="12">
      <formula>$L43&gt;0</formula>
    </cfRule>
  </conditionalFormatting>
  <conditionalFormatting sqref="L44">
    <cfRule type="expression" priority="63" dxfId="13">
      <formula>$L44&lt;0</formula>
    </cfRule>
    <cfRule type="expression" priority="64" dxfId="12">
      <formula>$L44&gt;0</formula>
    </cfRule>
  </conditionalFormatting>
  <conditionalFormatting sqref="L45">
    <cfRule type="expression" priority="65" dxfId="13">
      <formula>$L45&lt;0</formula>
    </cfRule>
    <cfRule type="expression" priority="66" dxfId="12">
      <formula>$L45&gt;0</formula>
    </cfRule>
  </conditionalFormatting>
  <conditionalFormatting sqref="L46">
    <cfRule type="expression" priority="67" dxfId="13">
      <formula>$L46&lt;0</formula>
    </cfRule>
    <cfRule type="expression" priority="68" dxfId="12">
      <formula>$L46&gt;0</formula>
    </cfRule>
  </conditionalFormatting>
  <conditionalFormatting sqref="L47">
    <cfRule type="expression" priority="69" dxfId="13">
      <formula>$L47&lt;0</formula>
    </cfRule>
    <cfRule type="expression" priority="70" dxfId="12">
      <formula>$L47&gt;0</formula>
    </cfRule>
  </conditionalFormatting>
  <conditionalFormatting sqref="L48">
    <cfRule type="expression" priority="71" dxfId="13">
      <formula>$L48&lt;0</formula>
    </cfRule>
    <cfRule type="expression" priority="72" dxfId="12">
      <formula>$L48&gt;0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4" customWidth="1" min="5" max="5"/>
    <col width="24" customWidth="1" min="6" max="6"/>
    <col width="24" customWidth="1" min="7" max="7"/>
    <col width="40" customWidth="1" min="8" max="8"/>
  </cols>
  <sheetData>
    <row r="1" ht="30" customHeight="1">
      <c r="A1" s="200" t="inlineStr">
        <is>
          <t>📝  CHANGE LOG</t>
        </is>
      </c>
    </row>
    <row r="2" ht="22" customHeight="1">
      <c r="A2" s="201" t="inlineStr">
        <is>
          <t>Date</t>
        </is>
      </c>
      <c r="B2" s="201" t="inlineStr">
        <is>
          <t>Version</t>
        </is>
      </c>
      <c r="C2" s="201" t="inlineStr">
        <is>
          <t>Changed By</t>
        </is>
      </c>
      <c r="D2" s="201" t="inlineStr">
        <is>
          <t>Sheet</t>
        </is>
      </c>
      <c r="E2" s="201" t="inlineStr">
        <is>
          <t>Cell/Range</t>
        </is>
      </c>
      <c r="F2" s="201" t="inlineStr">
        <is>
          <t>Old Value</t>
        </is>
      </c>
      <c r="G2" s="201" t="inlineStr">
        <is>
          <t>New Value</t>
        </is>
      </c>
      <c r="H2" s="201" t="inlineStr">
        <is>
          <t>Reason / Notes</t>
        </is>
      </c>
    </row>
    <row r="3">
      <c r="A3" s="202" t="n">
        <v>46107</v>
      </c>
      <c r="B3" s="203" t="inlineStr">
        <is>
          <t>1.0</t>
        </is>
      </c>
      <c r="C3" s="203" t="inlineStr">
        <is>
          <t>Alice Johnson</t>
        </is>
      </c>
      <c r="D3" s="203" t="inlineStr">
        <is>
          <t>CONFIG</t>
        </is>
      </c>
      <c r="E3" s="203" t="inlineStr">
        <is>
          <t>B5</t>
        </is>
      </c>
      <c r="F3" s="203" t="inlineStr"/>
      <c r="G3" s="203" t="inlineStr">
        <is>
          <t>Project Alpha</t>
        </is>
      </c>
      <c r="H3" s="203" t="inlineStr">
        <is>
          <t>Initial workbook setup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" t="inlineStr">
        <is>
          <t>ℹ️  HOW TO USE THIS WORKBOOK</t>
        </is>
      </c>
    </row>
    <row r="2" ht="22" customHeight="1">
      <c r="A2" s="204" t="inlineStr">
        <is>
          <t>Sheet</t>
        </is>
      </c>
      <c r="B2" s="204" t="inlineStr">
        <is>
          <t>Purpose / What to edit</t>
        </is>
      </c>
      <c r="C2" s="204" t="inlineStr">
        <is>
          <t>Inputs?</t>
        </is>
      </c>
      <c r="D2" s="204" t="inlineStr">
        <is>
          <t>Formulas?</t>
        </is>
      </c>
      <c r="E2" s="204" t="inlineStr">
        <is>
          <t>Linked to</t>
        </is>
      </c>
    </row>
    <row r="3" ht="50" customHeight="1">
      <c r="A3" s="205" t="inlineStr">
        <is>
          <t>CONFIG</t>
        </is>
      </c>
      <c r="B3" s="206" t="inlineStr">
        <is>
          <t>Master control panel. Set project name, dates, view type, currency, budget. Define type/status/priority colours. Add holidays. ALL other sheets read from here via named ranges.</t>
        </is>
      </c>
      <c r="C3" s="206" t="inlineStr">
        <is>
          <t>YES – yellow cells</t>
        </is>
      </c>
      <c r="D3" s="206" t="inlineStr">
        <is>
          <t>Partial</t>
        </is>
      </c>
      <c r="E3" s="206" t="inlineStr">
        <is>
          <t>All sheets</t>
        </is>
      </c>
    </row>
    <row r="4" ht="50" customHeight="1">
      <c r="A4" s="207" t="inlineStr">
        <is>
          <t>RESOURCES</t>
        </is>
      </c>
      <c r="B4" s="208" t="inlineStr">
        <is>
          <t>Add team members, roles, hourly rates, availability. Daily Rate auto-calculates from CONFIG hours/day.</t>
        </is>
      </c>
      <c r="C4" s="208" t="inlineStr">
        <is>
          <t>YES</t>
        </is>
      </c>
      <c r="D4" s="208" t="inlineStr">
        <is>
          <t>Daily Rate</t>
        </is>
      </c>
      <c r="E4" s="208" t="inlineStr">
        <is>
          <t>TASKS, TIMESHEET, COST</t>
        </is>
      </c>
    </row>
    <row r="5" ht="50" customHeight="1">
      <c r="A5" s="205" t="inlineStr">
        <is>
          <t>TASKS</t>
        </is>
      </c>
      <c r="B5" s="206" t="inlineStr">
        <is>
          <t>Enter all tasks. Dropdowns for Type/Status/Priority/Resources are driven by CONFIG &amp; RESOURCES named ranges. Duration is a formula.</t>
        </is>
      </c>
      <c r="C5" s="206" t="inlineStr">
        <is>
          <t>YES</t>
        </is>
      </c>
      <c r="D5" s="206" t="inlineStr">
        <is>
          <t>Duration</t>
        </is>
      </c>
      <c r="E5" s="206" t="inlineStr">
        <is>
          <t>GANTT, ALLOC, TIME, COST</t>
        </is>
      </c>
    </row>
    <row r="6" ht="50" customHeight="1">
      <c r="A6" s="207" t="inlineStr">
        <is>
          <t>GANTT_CHART</t>
        </is>
      </c>
      <c r="B6" s="208" t="inlineStr">
        <is>
          <t>Read-only visual timeline. 52-week view. Bars coloured by item type. Darker=completed portion. ◆=Milestone ★=Deliverable. Red column=Today.</t>
        </is>
      </c>
      <c r="C6" s="208" t="inlineStr">
        <is>
          <t>No</t>
        </is>
      </c>
      <c r="D6" s="208" t="inlineStr">
        <is>
          <t>Yes</t>
        </is>
      </c>
      <c r="E6" s="208" t="inlineStr">
        <is>
          <t>TASKS, CONFIG</t>
        </is>
      </c>
    </row>
    <row r="7" ht="50" customHeight="1">
      <c r="A7" s="205" t="inlineStr">
        <is>
          <t>RESOURCE_ALLOC</t>
        </is>
      </c>
      <c r="B7" s="206" t="inlineStr">
        <is>
          <t>% allocation matrix. Column totals &gt; 100% turn red (over-allocated). All names from RESOURCES.</t>
        </is>
      </c>
      <c r="C7" s="206" t="inlineStr">
        <is>
          <t>Adjust %</t>
        </is>
      </c>
      <c r="D7" s="206" t="inlineStr">
        <is>
          <t>Totals</t>
        </is>
      </c>
      <c r="E7" s="206" t="inlineStr">
        <is>
          <t>RESOURCES, TASKS</t>
        </is>
      </c>
    </row>
    <row r="8" ht="50" customHeight="1">
      <c r="A8" s="207" t="inlineStr">
        <is>
          <t>TIMESHEET</t>
        </is>
      </c>
      <c r="B8" s="208" t="inlineStr">
        <is>
          <t>Monthly estimated hours per resource per task, based on allocation % and task date overlap.</t>
        </is>
      </c>
      <c r="C8" s="208" t="inlineStr">
        <is>
          <t>Adjust hrs</t>
        </is>
      </c>
      <c r="D8" s="208" t="inlineStr">
        <is>
          <t>Yes</t>
        </is>
      </c>
      <c r="E8" s="208" t="inlineStr">
        <is>
          <t>TASKS, RESOURCES, CONFIG</t>
        </is>
      </c>
    </row>
    <row r="9" ht="50" customHeight="1">
      <c r="A9" s="205" t="inlineStr">
        <is>
          <t>COST_ANALYSIS</t>
        </is>
      </c>
      <c r="B9" s="206" t="inlineStr">
        <is>
          <t>Task budget vs resource cost breakdown. Green variance = under budget. Red = over. Summary reads budget from CONFIG.</t>
        </is>
      </c>
      <c r="C9" s="206" t="inlineStr">
        <is>
          <t>No</t>
        </is>
      </c>
      <c r="D9" s="206" t="inlineStr">
        <is>
          <t>Yes</t>
        </is>
      </c>
      <c r="E9" s="206" t="inlineStr">
        <is>
          <t>TASKS, RESOURCES, CONFIG</t>
        </is>
      </c>
    </row>
    <row r="10" ht="22" customHeight="1">
      <c r="A10" s="207" t="inlineStr">
        <is>
          <t>CHANGE_LOG</t>
        </is>
      </c>
      <c r="B10" s="208" t="inlineStr">
        <is>
          <t>Record plan changes. Track version, who changed what cell, old/new values, and reason.</t>
        </is>
      </c>
      <c r="C10" s="208" t="inlineStr">
        <is>
          <t>YES</t>
        </is>
      </c>
      <c r="D10" s="208" t="inlineStr">
        <is>
          <t>No</t>
        </is>
      </c>
      <c r="E10" s="208" t="inlineStr">
        <is>
          <t>—</t>
        </is>
      </c>
    </row>
    <row r="11" ht="22" customHeight="1">
      <c r="A11" s="206" t="inlineStr"/>
      <c r="B11" s="206" t="inlineStr"/>
      <c r="C11" s="206" t="inlineStr"/>
      <c r="D11" s="206" t="inlineStr"/>
      <c r="E11" s="206" t="inlineStr"/>
    </row>
    <row r="12" ht="22" customHeight="1">
      <c r="A12" s="207" t="inlineStr">
        <is>
          <t>KEY CONFIG RULES</t>
        </is>
      </c>
      <c r="B12" s="208" t="inlineStr">
        <is>
          <t>✅ Change colours in CONFIG → they appear in Preview column immediately.</t>
        </is>
      </c>
      <c r="C12" s="208" t="inlineStr"/>
      <c r="D12" s="208" t="inlineStr"/>
      <c r="E12" s="208" t="inlineStr"/>
    </row>
    <row r="13" ht="22" customHeight="1">
      <c r="A13" s="206" t="inlineStr"/>
      <c r="B13" s="206" t="inlineStr">
        <is>
          <t>✅ Add rows to RESOURCES → they appear in TASKS resource dropdowns automatically.</t>
        </is>
      </c>
      <c r="C13" s="206" t="inlineStr"/>
      <c r="D13" s="206" t="inlineStr"/>
      <c r="E13" s="206" t="inlineStr"/>
    </row>
    <row r="14" ht="22" customHeight="1">
      <c r="A14" s="208" t="inlineStr"/>
      <c r="B14" s="208" t="inlineStr">
        <is>
          <t>✅ Gantt View (CONFIG B13): Daily / Weekly / Monthly changes the header description.</t>
        </is>
      </c>
      <c r="C14" s="208" t="inlineStr"/>
      <c r="D14" s="208" t="inlineStr"/>
      <c r="E14" s="208" t="inlineStr"/>
    </row>
    <row r="15" ht="22" customHeight="1">
      <c r="A15" s="206" t="inlineStr"/>
      <c r="B15" s="206" t="inlineStr">
        <is>
          <t>✅ Currency (CONFIG B12): shown in COST summary label.</t>
        </is>
      </c>
      <c r="C15" s="206" t="inlineStr"/>
      <c r="D15" s="206" t="inlineStr"/>
      <c r="E15" s="206" t="inlineStr"/>
    </row>
    <row r="16" ht="22" customHeight="1">
      <c r="A16" s="208" t="inlineStr"/>
      <c r="B16" s="208" t="inlineStr">
        <is>
          <t>✅ Working Hours/Day (CONFIG B11): drives Daily Rate in RESOURCES.</t>
        </is>
      </c>
      <c r="C16" s="208" t="inlineStr"/>
      <c r="D16" s="208" t="inlineStr"/>
      <c r="E16" s="208" t="inlineStr"/>
    </row>
    <row r="17" ht="22" customHeight="1">
      <c r="A17" s="206" t="inlineStr"/>
      <c r="B17" s="206" t="inlineStr">
        <is>
          <t>✅ Holidays (CONFIG Section F): used with NETWORKDAYS formulas.</t>
        </is>
      </c>
      <c r="C17" s="206" t="inlineStr"/>
      <c r="D17" s="206" t="inlineStr"/>
      <c r="E17" s="206" t="inlineStr"/>
    </row>
    <row r="18" ht="22" customHeight="1">
      <c r="A18" s="208" t="inlineStr"/>
      <c r="B18" s="208" t="inlineStr">
        <is>
          <t>✅ Budget (CONFIG B14) + Contingency % (B15) → Adjusted Budget in COST.</t>
        </is>
      </c>
      <c r="C18" s="208" t="inlineStr"/>
      <c r="D18" s="208" t="inlineStr"/>
      <c r="E18" s="208" t="inlineStr"/>
    </row>
    <row r="19" ht="22" customHeight="1">
      <c r="A19" s="206" t="inlineStr"/>
      <c r="B19" s="206" t="inlineStr"/>
      <c r="C19" s="206" t="inlineStr"/>
      <c r="D19" s="206" t="inlineStr"/>
      <c r="E19" s="206" t="inlineStr"/>
    </row>
    <row r="20" ht="50" customHeight="1">
      <c r="A20" s="207" t="inlineStr">
        <is>
          <t>NAMED RANGES</t>
        </is>
      </c>
      <c r="B20" s="208" t="inlineStr">
        <is>
          <t>CFG_ProjectName, CFG_StartDate, CFG_EndDate, CFG_HoursPerDay, CFG_Currency, CFG_GanttView, CFG_Budget, CFG_Contingency</t>
        </is>
      </c>
      <c r="C20" s="208" t="inlineStr"/>
      <c r="D20" s="208" t="inlineStr"/>
      <c r="E20" s="208" t="inlineStr"/>
    </row>
    <row r="21" ht="22" customHeight="1">
      <c r="A21" s="206" t="inlineStr"/>
      <c r="B21" s="206" t="inlineStr">
        <is>
          <t>ItemTypeNames, StatusNames, PriorityNames (drive all dropdowns)</t>
        </is>
      </c>
      <c r="C21" s="206" t="inlineStr"/>
      <c r="D21" s="206" t="inlineStr"/>
      <c r="E21" s="206" t="inlineStr"/>
    </row>
    <row r="22" ht="22" customHeight="1">
      <c r="A22" s="208" t="inlineStr"/>
      <c r="B22" s="208" t="inlineStr">
        <is>
          <t>ResourceNames, ResourceIDs, ResourceRates, ResourceAvail</t>
        </is>
      </c>
      <c r="C22" s="208" t="inlineStr"/>
      <c r="D22" s="208" t="inlineStr"/>
      <c r="E22" s="208" t="inlineStr"/>
    </row>
    <row r="23" ht="22" customHeight="1">
      <c r="A23" s="206" t="inlineStr"/>
      <c r="B23" s="206" t="inlineStr">
        <is>
          <t>TaskIDs, TaskNames, TaskStartDates, TaskEndDates, TaskProgress</t>
        </is>
      </c>
      <c r="C23" s="206" t="inlineStr"/>
      <c r="D23" s="206" t="inlineStr"/>
      <c r="E23" s="20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2026-03-26T18:18:38Z</dcterms:created>
  <dcterms:modified xsi:type="dcterms:W3CDTF">2026-03-26T18:18:38Z</dcterms:modified>
</cp:coreProperties>
</file>