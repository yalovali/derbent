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tatus" r:id="rId3" sheetId="1"/>
    <sheet name="Activity Type" r:id="rId4" sheetId="2"/>
    <sheet name="Issue Type" r:id="rId5" sheetId="3"/>
    <sheet name="Grid Entity" r:id="rId6" sheetId="4"/>
    <sheet name="Page Entity" r:id="rId7" sheetId="5"/>
    <sheet name="Activity" r:id="rId8" sheetId="6"/>
    <sheet name="Issue" r:id="rId9" sheetId="7"/>
  </sheets>
</workbook>
</file>

<file path=xl/sharedStrings.xml><?xml version="1.0" encoding="utf-8"?>
<sst xmlns="http://schemas.openxmlformats.org/spreadsheetml/2006/main" count="156" uniqueCount="104">
  <si>
    <t># Project Item Statuses (used by Activities, Issues, etc.)</t>
  </si>
  <si>
    <t># Columns: Name (required), Final Status (true/false), Color, Icon</t>
  </si>
  <si>
    <t>Name</t>
  </si>
  <si>
    <t>Final Status</t>
  </si>
  <si>
    <t>Color</t>
  </si>
  <si>
    <t>Icon</t>
  </si>
  <si>
    <t>To Do</t>
  </si>
  <si>
    <t>false</t>
  </si>
  <si>
    <t>#1976D2</t>
  </si>
  <si>
    <t>vaadin:flag</t>
  </si>
  <si>
    <t>In Progress</t>
  </si>
  <si>
    <t>#F9A825</t>
  </si>
  <si>
    <t>Done</t>
  </si>
  <si>
    <t>true</t>
  </si>
  <si>
    <t>#2E7D32</t>
  </si>
  <si>
    <t># Activity Types</t>
  </si>
  <si>
    <t># Columns: Name (required), Color</t>
  </si>
  <si>
    <t>Design</t>
  </si>
  <si>
    <t>#5E35B1</t>
  </si>
  <si>
    <t>Development</t>
  </si>
  <si>
    <t>#1565C0</t>
  </si>
  <si>
    <t>Testing</t>
  </si>
  <si>
    <t>#00897B</t>
  </si>
  <si>
    <t>Documentation</t>
  </si>
  <si>
    <t>#6D4C41</t>
  </si>
  <si>
    <t># Issue Types</t>
  </si>
  <si>
    <t>Bug</t>
  </si>
  <si>
    <t>#D32F2F</t>
  </si>
  <si>
    <t>Improvement</t>
  </si>
  <si>
    <t>Task</t>
  </si>
  <si>
    <t>#455A64</t>
  </si>
  <si>
    <t>Feature Request</t>
  </si>
  <si>
    <t>#7B1FA2</t>
  </si>
  <si>
    <t># Grid Entities (view configuration)</t>
  </si>
  <si>
    <t># Columns: Name (required), Data Service Bean (required), Column Fields (csv), Editable Column Fields (csv), None Grid</t>
  </si>
  <si>
    <t>Data Service Bean</t>
  </si>
  <si>
    <t>Column Fields</t>
  </si>
  <si>
    <t>Editable Column Fields</t>
  </si>
  <si>
    <t>None Grid</t>
  </si>
  <si>
    <t>Activities Grid</t>
  </si>
  <si>
    <t>CActivityService</t>
  </si>
  <si>
    <t>id,name,status,dueDate,assignedTo</t>
  </si>
  <si>
    <t>name,status,dueDate</t>
  </si>
  <si>
    <t>Issues Grid</t>
  </si>
  <si>
    <t>CIssueService</t>
  </si>
  <si>
    <t>id,name,status,dueDate,assignedTo,linkedActivity</t>
  </si>
  <si>
    <t># Page Entities (navigation pages)</t>
  </si>
  <si>
    <t># Columns: Name, Menu Title, Menu Order, Page Title, Page Service, Icon, Requires Authentication, Grid Entity, Content</t>
  </si>
  <si>
    <t>Menu Title</t>
  </si>
  <si>
    <t>Menu Order</t>
  </si>
  <si>
    <t>Page Title</t>
  </si>
  <si>
    <t>Page Service</t>
  </si>
  <si>
    <t>Requires Authentication</t>
  </si>
  <si>
    <t>Grid Entity</t>
  </si>
  <si>
    <t>Content</t>
  </si>
  <si>
    <t>Activities Page</t>
  </si>
  <si>
    <t>Project.Activities (Excel)</t>
  </si>
  <si>
    <t>10.201</t>
  </si>
  <si>
    <t>Activities (Excel)</t>
  </si>
  <si>
    <t>CPageServiceActivity</t>
  </si>
  <si>
    <t>vaadin:tasks</t>
  </si>
  <si>
    <t/>
  </si>
  <si>
    <t>Issues Page</t>
  </si>
  <si>
    <t>Project.Issues (Excel)</t>
  </si>
  <si>
    <t>10.202</t>
  </si>
  <si>
    <t>Issues (Excel)</t>
  </si>
  <si>
    <t>CPageServiceIssue</t>
  </si>
  <si>
    <t>vaadin:bug</t>
  </si>
  <si>
    <t># Activity import template</t>
  </si>
  <si>
    <t># Columns: Name (required), Description, Status, Activity Type, Due Date, Estimated Hours, Assigned To</t>
  </si>
  <si>
    <t xml:space="preserve"># Tip: Due Date can be an Excel date cell; Estimated Hours can be a formula (e.g. =4+4). </t>
  </si>
  <si>
    <t># Status and Activity Type must already exist in the system</t>
  </si>
  <si>
    <t>Description</t>
  </si>
  <si>
    <t>Status</t>
  </si>
  <si>
    <t>Activity Type</t>
  </si>
  <si>
    <t>Due   Date</t>
  </si>
  <si>
    <t>Estimated   Hours</t>
  </si>
  <si>
    <t>Assigned To</t>
  </si>
  <si>
    <t>Design login screen</t>
  </si>
  <si>
    <t>Create wireframes for the login page
- include MFA enrollment
- validate error states</t>
  </si>
  <si>
    <t>8</t>
  </si>
  <si>
    <t>Implement authentication</t>
  </si>
  <si>
    <t>JWT-based auth implementation (access + refresh tokens)</t>
  </si>
  <si>
    <t>admin</t>
  </si>
  <si>
    <t>Write unit tests</t>
  </si>
  <si>
    <t>Cover authentication service with tests; include edge cases (Safari, iOS)</t>
  </si>
  <si>
    <t>4.5</t>
  </si>
  <si>
    <t>Document rollout plan</t>
  </si>
  <si>
    <t>Release notes + runbook update</t>
  </si>
  <si>
    <t>2</t>
  </si>
  <si>
    <t>Verify formula date</t>
  </si>
  <si>
    <t>Due date is generated via formula: E6+14 (safe POI-evaluable date arithmetic)</t>
  </si>
  <si>
    <t>1</t>
  </si>
  <si>
    <t># Issue import template</t>
  </si>
  <si>
    <t># Columns: Name (required), Description, Status, Issue Type, Due Date, Linked Activity, Assigned To</t>
  </si>
  <si>
    <t># Issue Type must match an existing issue type (e.g. Bug, Improvement, Task, Feature Request, Documentation)</t>
  </si>
  <si>
    <t>Issue  Type</t>
  </si>
  <si>
    <t>Linked Activity</t>
  </si>
  <si>
    <t>Login button broken on Safari</t>
  </si>
  <si>
    <t>Login button does not respond on Safari 16
Repro: iPhone 15 Pro / iOS 19</t>
  </si>
  <si>
    <t>Improve dashboard load time</t>
  </si>
  <si>
    <t>Dashboard takes &gt; 5s to load with 100+ projects</t>
  </si>
  <si>
    <t>Missing export button in reports</t>
  </si>
  <si>
    <t>Add CSV export to all report pages</t>
  </si>
</sst>
</file>

<file path=xl/styles.xml><?xml version="1.0" encoding="utf-8"?>
<styleSheet xmlns="http://schemas.openxmlformats.org/spreadsheetml/2006/main">
  <numFmts count="1">
    <numFmt numFmtId="164" formatCode="yyyy-mm-dd"/>
  </numFmts>
  <fonts count="15">
    <font>
      <sz val="11.0"/>
      <color indexed="8"/>
      <name val="Calibri"/>
      <family val="2"/>
      <scheme val="minor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</fonts>
  <fills count="4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17">
    <xf numFmtId="0" fontId="0" fillId="0" borderId="0" xfId="0"/>
    <xf numFmtId="0" fontId="1" fillId="3" borderId="1" xfId="0" applyFont="true" applyFill="true" applyBorder="true"/>
    <xf numFmtId="0" fontId="2" fillId="0" borderId="0" xfId="0" applyFont="true"/>
    <xf numFmtId="0" fontId="3" fillId="3" borderId="1" xfId="0" applyFont="true" applyFill="true" applyBorder="true"/>
    <xf numFmtId="0" fontId="4" fillId="0" borderId="0" xfId="0" applyFont="true"/>
    <xf numFmtId="0" fontId="5" fillId="3" borderId="1" xfId="0" applyFont="true" applyFill="true" applyBorder="true"/>
    <xf numFmtId="0" fontId="6" fillId="0" borderId="0" xfId="0" applyFont="true"/>
    <xf numFmtId="0" fontId="7" fillId="3" borderId="1" xfId="0" applyFont="true" applyFill="true" applyBorder="true"/>
    <xf numFmtId="0" fontId="8" fillId="0" borderId="0" xfId="0" applyFont="true"/>
    <xf numFmtId="0" fontId="9" fillId="3" borderId="1" xfId="0" applyFont="true" applyFill="true" applyBorder="true"/>
    <xf numFmtId="0" fontId="10" fillId="0" borderId="0" xfId="0" applyFont="true"/>
    <xf numFmtId="0" fontId="11" fillId="3" borderId="1" xfId="0" applyFont="true" applyFill="true" applyBorder="true"/>
    <xf numFmtId="0" fontId="12" fillId="0" borderId="0" xfId="0" applyFont="true"/>
    <xf numFmtId="164" fontId="0" fillId="0" borderId="0" xfId="0" applyNumberFormat="true"/>
    <xf numFmtId="0" fontId="13" fillId="3" borderId="1" xfId="0" applyFont="true" applyFill="true" applyBorder="true"/>
    <xf numFmtId="0" fontId="14" fillId="0" borderId="0" xfId="0" applyFont="true"/>
    <xf numFmtId="164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6"/>
  <sheetViews>
    <sheetView workbookViewId="0" tabSelected="true"/>
  </sheetViews>
  <sheetFormatPr defaultRowHeight="15.0"/>
  <cols>
    <col min="1" max="1" width="50.99609375" customWidth="true" bestFit="true"/>
    <col min="2" max="2" width="11.17578125" customWidth="true" bestFit="true"/>
    <col min="3" max="3" width="8.3203125" customWidth="true" bestFit="true"/>
    <col min="4" max="4" width="9.9453125" customWidth="true" bestFit="true"/>
  </cols>
  <sheetData>
    <row r="1">
      <c r="A1" t="s" s="2">
        <v>0</v>
      </c>
    </row>
    <row r="2">
      <c r="A2" t="s" s="2">
        <v>1</v>
      </c>
    </row>
    <row r="3">
      <c r="A3" t="s" s="1">
        <v>2</v>
      </c>
      <c r="B3" t="s" s="1">
        <v>3</v>
      </c>
      <c r="C3" t="s" s="1">
        <v>4</v>
      </c>
      <c r="D3" t="s" s="1">
        <v>5</v>
      </c>
    </row>
    <row r="4">
      <c r="A4" t="s" s="0">
        <v>6</v>
      </c>
      <c r="B4" t="s" s="0">
        <v>7</v>
      </c>
      <c r="C4" t="s" s="0">
        <v>8</v>
      </c>
      <c r="D4" t="s" s="0">
        <v>9</v>
      </c>
    </row>
    <row r="5">
      <c r="A5" t="s" s="0">
        <v>10</v>
      </c>
      <c r="B5" t="s" s="0">
        <v>7</v>
      </c>
      <c r="C5" t="s" s="0">
        <v>11</v>
      </c>
      <c r="D5" t="s" s="0">
        <v>9</v>
      </c>
    </row>
    <row r="6">
      <c r="A6" t="s" s="0">
        <v>12</v>
      </c>
      <c r="B6" t="s" s="0">
        <v>13</v>
      </c>
      <c r="C6" t="s" s="0">
        <v>14</v>
      </c>
      <c r="D6" t="s" s="0">
        <v>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B7"/>
  <sheetViews>
    <sheetView workbookViewId="0"/>
  </sheetViews>
  <sheetFormatPr defaultRowHeight="15.0"/>
  <cols>
    <col min="1" max="1" width="27.95703125" customWidth="true" bestFit="true"/>
    <col min="2" max="2" width="8.42578125" customWidth="true" bestFit="true"/>
  </cols>
  <sheetData>
    <row r="1">
      <c r="A1" t="s" s="4">
        <v>15</v>
      </c>
    </row>
    <row r="2">
      <c r="A2" t="s" s="4">
        <v>16</v>
      </c>
    </row>
    <row r="3">
      <c r="A3" t="s" s="3">
        <v>2</v>
      </c>
      <c r="B3" t="s" s="3">
        <v>4</v>
      </c>
    </row>
    <row r="4">
      <c r="A4" t="s" s="0">
        <v>17</v>
      </c>
      <c r="B4" t="s" s="0">
        <v>18</v>
      </c>
    </row>
    <row r="5">
      <c r="A5" t="s" s="0">
        <v>19</v>
      </c>
      <c r="B5" t="s" s="0">
        <v>20</v>
      </c>
    </row>
    <row r="6">
      <c r="A6" t="s" s="0">
        <v>21</v>
      </c>
      <c r="B6" t="s" s="0">
        <v>22</v>
      </c>
    </row>
    <row r="7">
      <c r="A7" t="s" s="0">
        <v>23</v>
      </c>
      <c r="B7" t="s" s="0">
        <v>24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B7"/>
  <sheetViews>
    <sheetView workbookViewId="0"/>
  </sheetViews>
  <sheetFormatPr defaultRowHeight="15.0"/>
  <cols>
    <col min="1" max="1" width="27.95703125" customWidth="true" bestFit="true"/>
    <col min="2" max="2" width="8.3203125" customWidth="true" bestFit="true"/>
  </cols>
  <sheetData>
    <row r="1">
      <c r="A1" t="s" s="6">
        <v>25</v>
      </c>
    </row>
    <row r="2">
      <c r="A2" t="s" s="6">
        <v>16</v>
      </c>
    </row>
    <row r="3">
      <c r="A3" t="s" s="5">
        <v>2</v>
      </c>
      <c r="B3" t="s" s="5">
        <v>4</v>
      </c>
    </row>
    <row r="4">
      <c r="A4" t="s" s="0">
        <v>26</v>
      </c>
      <c r="B4" t="s" s="0">
        <v>27</v>
      </c>
    </row>
    <row r="5">
      <c r="A5" t="s" s="0">
        <v>28</v>
      </c>
      <c r="B5" t="s" s="0">
        <v>8</v>
      </c>
    </row>
    <row r="6">
      <c r="A6" t="s" s="0">
        <v>29</v>
      </c>
      <c r="B6" t="s" s="0">
        <v>30</v>
      </c>
    </row>
    <row r="7">
      <c r="A7" t="s" s="0">
        <v>31</v>
      </c>
      <c r="B7" t="s" s="0">
        <v>32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E5"/>
  <sheetViews>
    <sheetView workbookViewId="0"/>
  </sheetViews>
  <sheetFormatPr defaultRowHeight="15.0"/>
  <cols>
    <col min="1" max="1" width="92.55078125" customWidth="true" bestFit="true"/>
    <col min="2" max="2" width="16.671875" customWidth="true" bestFit="true"/>
    <col min="3" max="3" width="41.7109375" customWidth="true" bestFit="true"/>
    <col min="4" max="4" width="20.73046875" customWidth="true" bestFit="true"/>
    <col min="5" max="5" width="9.7734375" customWidth="true" bestFit="true"/>
  </cols>
  <sheetData>
    <row r="1">
      <c r="A1" t="s" s="8">
        <v>33</v>
      </c>
    </row>
    <row r="2">
      <c r="A2" t="s" s="8">
        <v>34</v>
      </c>
    </row>
    <row r="3">
      <c r="A3" t="s" s="7">
        <v>2</v>
      </c>
      <c r="B3" t="s" s="7">
        <v>35</v>
      </c>
      <c r="C3" t="s" s="7">
        <v>36</v>
      </c>
      <c r="D3" t="s" s="7">
        <v>37</v>
      </c>
      <c r="E3" t="s" s="7">
        <v>38</v>
      </c>
    </row>
    <row r="4">
      <c r="A4" t="s" s="0">
        <v>39</v>
      </c>
      <c r="B4" t="s" s="0">
        <v>40</v>
      </c>
      <c r="C4" t="s" s="0">
        <v>41</v>
      </c>
      <c r="D4" t="s" s="0">
        <v>42</v>
      </c>
      <c r="E4" t="s" s="0">
        <v>7</v>
      </c>
    </row>
    <row r="5">
      <c r="A5" t="s" s="0">
        <v>43</v>
      </c>
      <c r="B5" t="s" s="0">
        <v>44</v>
      </c>
      <c r="C5" t="s" s="0">
        <v>45</v>
      </c>
      <c r="D5" t="s" s="0">
        <v>42</v>
      </c>
      <c r="E5" t="s" s="0">
        <v>7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:I5"/>
  <sheetViews>
    <sheetView workbookViewId="0"/>
  </sheetViews>
  <sheetFormatPr defaultRowHeight="15.0"/>
  <cols>
    <col min="1" max="1" width="92.71484375" customWidth="true" bestFit="true"/>
    <col min="2" max="2" width="20.0859375" customWidth="true" bestFit="true"/>
    <col min="3" max="3" width="11.48828125" customWidth="true" bestFit="true"/>
    <col min="4" max="4" width="13.875" customWidth="true" bestFit="true"/>
    <col min="5" max="5" width="17.8515625" customWidth="true" bestFit="true"/>
    <col min="6" max="6" width="11.05859375" customWidth="true" bestFit="true"/>
    <col min="7" max="7" width="22.27734375" customWidth="true" bestFit="true"/>
    <col min="8" max="8" width="12.171875" customWidth="true" bestFit="true"/>
    <col min="9" max="9" width="7.98046875" customWidth="true" bestFit="true"/>
  </cols>
  <sheetData>
    <row r="1">
      <c r="A1" t="s" s="10">
        <v>46</v>
      </c>
    </row>
    <row r="2">
      <c r="A2" t="s" s="10">
        <v>47</v>
      </c>
    </row>
    <row r="3">
      <c r="A3" t="s" s="9">
        <v>2</v>
      </c>
      <c r="B3" t="s" s="9">
        <v>48</v>
      </c>
      <c r="C3" t="s" s="9">
        <v>49</v>
      </c>
      <c r="D3" t="s" s="9">
        <v>50</v>
      </c>
      <c r="E3" t="s" s="9">
        <v>51</v>
      </c>
      <c r="F3" t="s" s="9">
        <v>5</v>
      </c>
      <c r="G3" t="s" s="9">
        <v>52</v>
      </c>
      <c r="H3" t="s" s="9">
        <v>53</v>
      </c>
      <c r="I3" t="s" s="9">
        <v>54</v>
      </c>
    </row>
    <row r="4">
      <c r="A4" t="s" s="0">
        <v>55</v>
      </c>
      <c r="B4" t="s" s="0">
        <v>56</v>
      </c>
      <c r="C4" t="s" s="0">
        <v>57</v>
      </c>
      <c r="D4" t="s" s="0">
        <v>58</v>
      </c>
      <c r="E4" t="s" s="0">
        <v>59</v>
      </c>
      <c r="F4" t="s" s="0">
        <v>60</v>
      </c>
      <c r="G4" t="s" s="0">
        <v>13</v>
      </c>
      <c r="H4" t="s" s="0">
        <v>39</v>
      </c>
      <c r="I4" t="s" s="0">
        <v>61</v>
      </c>
    </row>
    <row r="5">
      <c r="A5" t="s" s="0">
        <v>62</v>
      </c>
      <c r="B5" t="s" s="0">
        <v>63</v>
      </c>
      <c r="C5" t="s" s="0">
        <v>64</v>
      </c>
      <c r="D5" t="s" s="0">
        <v>65</v>
      </c>
      <c r="E5" t="s" s="0">
        <v>66</v>
      </c>
      <c r="F5" t="s" s="0">
        <v>67</v>
      </c>
      <c r="G5" t="s" s="0">
        <v>13</v>
      </c>
      <c r="H5" t="s" s="0">
        <v>43</v>
      </c>
      <c r="I5" t="s" s="0">
        <v>61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A1:G10"/>
  <sheetViews>
    <sheetView workbookViewId="0"/>
  </sheetViews>
  <sheetFormatPr defaultRowHeight="15.0"/>
  <cols>
    <col min="1" max="1" width="80.453125" customWidth="true" bestFit="true"/>
    <col min="2" max="2" width="64.56640625" customWidth="true" bestFit="true"/>
    <col min="3" max="3" width="10.3359375" customWidth="true" bestFit="true"/>
    <col min="4" max="4" width="13.69921875" customWidth="true" bestFit="true"/>
    <col min="5" max="5" width="10.0390625" customWidth="true" bestFit="true"/>
    <col min="6" max="6" width="16.34375" customWidth="true" bestFit="true"/>
    <col min="7" max="7" width="11.359375" customWidth="true" bestFit="true"/>
  </cols>
  <sheetData>
    <row r="1">
      <c r="A1" t="s" s="12">
        <v>68</v>
      </c>
    </row>
    <row r="2">
      <c r="A2" t="s" s="12">
        <v>69</v>
      </c>
    </row>
    <row r="3">
      <c r="A3" t="s" s="12">
        <v>70</v>
      </c>
    </row>
    <row r="4">
      <c r="A4" t="s" s="12">
        <v>71</v>
      </c>
    </row>
    <row r="5">
      <c r="A5" t="s" s="11">
        <v>2</v>
      </c>
      <c r="B5" t="s" s="11">
        <v>72</v>
      </c>
      <c r="C5" t="s" s="11">
        <v>73</v>
      </c>
      <c r="D5" t="s" s="11">
        <v>74</v>
      </c>
      <c r="E5" t="s" s="11">
        <v>75</v>
      </c>
      <c r="F5" t="s" s="11">
        <v>76</v>
      </c>
      <c r="G5" t="s" s="11">
        <v>77</v>
      </c>
    </row>
    <row r="6">
      <c r="A6" t="s" s="0">
        <v>78</v>
      </c>
      <c r="B6" t="s" s="0">
        <v>79</v>
      </c>
      <c r="C6" t="s" s="0">
        <v>6</v>
      </c>
      <c r="D6" t="s" s="0">
        <v>17</v>
      </c>
      <c r="E6" t="n" s="13">
        <v>45823.0</v>
      </c>
      <c r="F6" t="s" s="0">
        <v>80</v>
      </c>
      <c r="G6" t="s" s="0">
        <v>61</v>
      </c>
    </row>
    <row r="7">
      <c r="A7" t="s" s="0">
        <v>81</v>
      </c>
      <c r="B7" t="s" s="0">
        <v>82</v>
      </c>
      <c r="C7" t="s" s="0">
        <v>10</v>
      </c>
      <c r="D7" t="s" s="0">
        <v>19</v>
      </c>
      <c r="E7" t="n" s="13">
        <v>45828.0</v>
      </c>
      <c r="F7" s="0">
        <f>4+4</f>
      </c>
      <c r="G7" t="s" s="0">
        <v>83</v>
      </c>
    </row>
    <row r="8">
      <c r="A8" t="s" s="0">
        <v>84</v>
      </c>
      <c r="B8" t="s" s="0">
        <v>85</v>
      </c>
      <c r="C8" t="s" s="0">
        <v>6</v>
      </c>
      <c r="D8" t="s" s="0">
        <v>21</v>
      </c>
      <c r="E8" t="n" s="13">
        <v>45833.0</v>
      </c>
      <c r="F8" t="s" s="0">
        <v>86</v>
      </c>
      <c r="G8" t="s" s="0">
        <v>83</v>
      </c>
    </row>
    <row r="9">
      <c r="A9" t="s" s="0">
        <v>87</v>
      </c>
      <c r="B9" t="s" s="0">
        <v>88</v>
      </c>
      <c r="C9" t="s" s="0">
        <v>61</v>
      </c>
      <c r="D9" t="s" s="0">
        <v>23</v>
      </c>
      <c r="E9" t="n" s="13">
        <v>45826.0</v>
      </c>
      <c r="F9" t="s" s="0">
        <v>89</v>
      </c>
      <c r="G9" t="s" s="0">
        <v>61</v>
      </c>
    </row>
    <row r="10">
      <c r="A10" t="s" s="0">
        <v>90</v>
      </c>
      <c r="B10" t="s" s="0">
        <v>91</v>
      </c>
      <c r="C10" t="s" s="0">
        <v>6</v>
      </c>
      <c r="D10" t="s" s="0">
        <v>21</v>
      </c>
      <c r="E10" t="n" s="13">
        <f>E6+14</f>
        <v>45809.0</v>
      </c>
      <c r="F10" t="s" s="0">
        <v>92</v>
      </c>
      <c r="G10" t="s" s="0">
        <v>61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A1:G7"/>
  <sheetViews>
    <sheetView workbookViewId="0"/>
  </sheetViews>
  <sheetFormatPr defaultRowHeight="15.0"/>
  <cols>
    <col min="1" max="1" width="86.87109375" customWidth="true" bestFit="true"/>
    <col min="2" max="2" width="40.23046875" customWidth="true" bestFit="true"/>
    <col min="3" max="3" width="6.4921875" customWidth="true" bestFit="true"/>
    <col min="4" max="4" width="14.34375" customWidth="true" bestFit="true"/>
    <col min="5" max="5" width="10.0390625" customWidth="true" bestFit="true"/>
    <col min="6" max="6" width="22.40234375" customWidth="true" bestFit="true"/>
    <col min="7" max="7" width="11.359375" customWidth="true" bestFit="true"/>
  </cols>
  <sheetData>
    <row r="1">
      <c r="A1" t="s" s="15">
        <v>93</v>
      </c>
    </row>
    <row r="2">
      <c r="A2" t="s" s="15">
        <v>94</v>
      </c>
    </row>
    <row r="3">
      <c r="A3" t="s" s="15">
        <v>95</v>
      </c>
    </row>
    <row r="4">
      <c r="A4" t="s" s="14">
        <v>2</v>
      </c>
      <c r="B4" t="s" s="14">
        <v>72</v>
      </c>
      <c r="C4" t="s" s="14">
        <v>73</v>
      </c>
      <c r="D4" t="s" s="14">
        <v>96</v>
      </c>
      <c r="E4" t="s" s="14">
        <v>75</v>
      </c>
      <c r="F4" t="s" s="14">
        <v>97</v>
      </c>
      <c r="G4" t="s" s="14">
        <v>77</v>
      </c>
    </row>
    <row r="5">
      <c r="A5" t="s" s="0">
        <v>98</v>
      </c>
      <c r="B5" t="s" s="0">
        <v>99</v>
      </c>
      <c r="C5" t="s" s="0">
        <v>6</v>
      </c>
      <c r="D5" t="s" s="0">
        <v>26</v>
      </c>
      <c r="E5" t="n" s="16">
        <v>45818.0</v>
      </c>
      <c r="F5" t="s" s="0">
        <v>81</v>
      </c>
      <c r="G5" t="s" s="0">
        <v>83</v>
      </c>
    </row>
    <row r="6">
      <c r="A6" t="s" s="0">
        <v>100</v>
      </c>
      <c r="B6" t="s" s="0">
        <v>101</v>
      </c>
      <c r="C6" t="s" s="0">
        <v>6</v>
      </c>
      <c r="D6" t="s" s="0">
        <v>28</v>
      </c>
      <c r="E6" t="n" s="16">
        <v>45838.0</v>
      </c>
      <c r="F6" t="s" s="0">
        <v>84</v>
      </c>
      <c r="G6" t="s" s="0">
        <v>83</v>
      </c>
    </row>
    <row r="7">
      <c r="A7" t="s" s="0">
        <v>102</v>
      </c>
      <c r="B7" t="s" s="0">
        <v>103</v>
      </c>
      <c r="C7" t="s" s="0">
        <v>6</v>
      </c>
      <c r="D7" t="s" s="0">
        <v>31</v>
      </c>
      <c r="E7" t="n" s="16">
        <v>45843.0</v>
      </c>
      <c r="F7" t="s" s="0">
        <v>87</v>
      </c>
      <c r="G7" t="s" s="0">
        <v>61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terms="http://purl.org/dc/terms/" xmlns:dc="http://purl.org/dc/elements/1.1/" xmlns:xsi="http://www.w3.org/2001/XMLSchema-instance">
  <dcterms:created xsi:type="dcterms:W3CDTF">2026-05-02T23:14:13Z</dcterms:created>
  <dc:creator>Apache POI</dc:creator>
</cp:coreProperties>
</file>