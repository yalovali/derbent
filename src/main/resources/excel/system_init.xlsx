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s" r:id="rId3" sheetId="1"/>
    <sheet name="Workflow Entity" r:id="rId4" sheetId="2"/>
    <sheet name="Workflow Status Relation" r:id="rId5" sheetId="3"/>
    <sheet name="Activity Priority" r:id="rId6" sheetId="4"/>
    <sheet name="Activity Type" r:id="rId7" sheetId="5"/>
    <sheet name="Issue Type" r:id="rId8" sheetId="6"/>
    <sheet name="Grid Entity" r:id="rId9" sheetId="7"/>
    <sheet name="Page Entity" r:id="rId10" sheetId="8"/>
    <sheet name="Activity" r:id="rId11" sheetId="9"/>
    <sheet name="Issue" r:id="rId12" sheetId="10"/>
  </sheets>
</workbook>
</file>

<file path=xl/sharedStrings.xml><?xml version="1.0" encoding="utf-8"?>
<sst xmlns="http://schemas.openxmlformats.org/spreadsheetml/2006/main" count="292" uniqueCount="153">
  <si>
    <t># Project Item Statuses (used by Activities, Issues, etc.)</t>
  </si>
  <si>
    <t># Columns: Name (required), Final Status (true/false), Color, Icon</t>
  </si>
  <si>
    <t>Name</t>
  </si>
  <si>
    <t>Final Status</t>
  </si>
  <si>
    <t>Color</t>
  </si>
  <si>
    <t>Icon</t>
  </si>
  <si>
    <t>To Do</t>
  </si>
  <si>
    <t>false</t>
  </si>
  <si>
    <t>#1976D2</t>
  </si>
  <si>
    <t>vaadin:flag</t>
  </si>
  <si>
    <t>In Progress</t>
  </si>
  <si>
    <t>#F9A825</t>
  </si>
  <si>
    <t>Done</t>
  </si>
  <si>
    <t>true</t>
  </si>
  <si>
    <t>#2E7D32</t>
  </si>
  <si>
    <t># Workflows</t>
  </si>
  <si>
    <t># Columns: Name (required)</t>
  </si>
  <si>
    <t>Default Workflow</t>
  </si>
  <si>
    <t># Workflow Status Transitions</t>
  </si>
  <si>
    <t># Columns: Workflow (required), From Status (required), To Status (required), Is Initial Status, Roles (csv)</t>
  </si>
  <si>
    <t>Workflow</t>
  </si>
  <si>
    <t>From Status</t>
  </si>
  <si>
    <t>To Status</t>
  </si>
  <si>
    <t>Is Initial Status</t>
  </si>
  <si>
    <t>Roles</t>
  </si>
  <si>
    <t/>
  </si>
  <si>
    <t># Activity Priorities</t>
  </si>
  <si>
    <t># Columns: Name (required), Color, Sort Order, Priority Level, Is Default</t>
  </si>
  <si>
    <t>Sort Order</t>
  </si>
  <si>
    <t>Priority Level</t>
  </si>
  <si>
    <t>Is Default</t>
  </si>
  <si>
    <t>Critical</t>
  </si>
  <si>
    <t>#B71C1C</t>
  </si>
  <si>
    <t>10</t>
  </si>
  <si>
    <t>1</t>
  </si>
  <si>
    <t>High</t>
  </si>
  <si>
    <t>#D32F2F</t>
  </si>
  <si>
    <t>20</t>
  </si>
  <si>
    <t>2</t>
  </si>
  <si>
    <t>Medium</t>
  </si>
  <si>
    <t>30</t>
  </si>
  <si>
    <t>3</t>
  </si>
  <si>
    <t>Low</t>
  </si>
  <si>
    <t>40</t>
  </si>
  <si>
    <t>4</t>
  </si>
  <si>
    <t># Activity Types</t>
  </si>
  <si>
    <t># Columns: Name (required), Color, Sort Order, Level, Can Have Children, Non Deletable, Workflow</t>
  </si>
  <si>
    <t>Level</t>
  </si>
  <si>
    <t>Can Have Children</t>
  </si>
  <si>
    <t>Non Deletable</t>
  </si>
  <si>
    <t>Design</t>
  </si>
  <si>
    <t>#5E35B1</t>
  </si>
  <si>
    <t>-1</t>
  </si>
  <si>
    <t>Development</t>
  </si>
  <si>
    <t>#1565C0</t>
  </si>
  <si>
    <t>Testing</t>
  </si>
  <si>
    <t>#00897B</t>
  </si>
  <si>
    <t>Documentation</t>
  </si>
  <si>
    <t>#6D4C41</t>
  </si>
  <si>
    <t># Issue Types</t>
  </si>
  <si>
    <t>Bug</t>
  </si>
  <si>
    <t>Improvement</t>
  </si>
  <si>
    <t>Task</t>
  </si>
  <si>
    <t>#455A64</t>
  </si>
  <si>
    <t>Feature Request</t>
  </si>
  <si>
    <t>#7B1FA2</t>
  </si>
  <si>
    <t># Grid Entities (view configuration)</t>
  </si>
  <si>
    <t># Columns: Name (required), Data Service Bean (required), Column Fields (csv), Editable Column Fields (csv), None Grid</t>
  </si>
  <si>
    <t>Data Service Bean</t>
  </si>
  <si>
    <t>Column Fields</t>
  </si>
  <si>
    <t>Editable Column Fields</t>
  </si>
  <si>
    <t>None Grid</t>
  </si>
  <si>
    <t>Activities Grid</t>
  </si>
  <si>
    <t>CActivityService</t>
  </si>
  <si>
    <t>id,name,status,dueDate,assignedTo</t>
  </si>
  <si>
    <t>name,status,dueDate</t>
  </si>
  <si>
    <t>Issues Grid</t>
  </si>
  <si>
    <t>CIssueService</t>
  </si>
  <si>
    <t>id,name,status,dueDate,assignedTo,linkedActivity</t>
  </si>
  <si>
    <t># Page Entities (navigation pages)</t>
  </si>
  <si>
    <t># Columns: Name, Menu Title, Menu Order, Page Title, Page Service, Icon, Requires Authentication, Grid Entity, Content</t>
  </si>
  <si>
    <t>Menu Title</t>
  </si>
  <si>
    <t>Menu Order</t>
  </si>
  <si>
    <t>Page Title</t>
  </si>
  <si>
    <t>Page Service</t>
  </si>
  <si>
    <t>Requires Authentication</t>
  </si>
  <si>
    <t>Grid Entity</t>
  </si>
  <si>
    <t>Content</t>
  </si>
  <si>
    <t>Activities Page</t>
  </si>
  <si>
    <t>Project.Activities (Excel)</t>
  </si>
  <si>
    <t>10.201</t>
  </si>
  <si>
    <t>Activities (Excel)</t>
  </si>
  <si>
    <t>CPageServiceActivity</t>
  </si>
  <si>
    <t>vaadin:tasks</t>
  </si>
  <si>
    <t>Issues Page</t>
  </si>
  <si>
    <t>Project.Issues (Excel)</t>
  </si>
  <si>
    <t>10.202</t>
  </si>
  <si>
    <t>Issues (Excel)</t>
  </si>
  <si>
    <t>CPageServiceIssue</t>
  </si>
  <si>
    <t>vaadin:bug</t>
  </si>
  <si>
    <t># Activity import template</t>
  </si>
  <si>
    <t># Columns: Name (required), Description, Status, Activity Type, Due Date, Estimated Hours, Assigned To</t>
  </si>
  <si>
    <t xml:space="preserve"># Tip: Due Date can be an Excel date cell; Estimated Hours can be a formula (e.g. =4+4). </t>
  </si>
  <si>
    <t># Status and Activity Type must already exist in the system</t>
  </si>
  <si>
    <t>Description</t>
  </si>
  <si>
    <t>Status</t>
  </si>
  <si>
    <t>Activity Type</t>
  </si>
  <si>
    <t>Priority</t>
  </si>
  <si>
    <t>Start   Date</t>
  </si>
  <si>
    <t>Due   Date</t>
  </si>
  <si>
    <t>Completion Date</t>
  </si>
  <si>
    <t>Progress   %</t>
  </si>
  <si>
    <t>Story Points</t>
  </si>
  <si>
    <t>Estimated   Hours</t>
  </si>
  <si>
    <t>Assigned To</t>
  </si>
  <si>
    <t>Acceptance Criteria</t>
  </si>
  <si>
    <t>Notes</t>
  </si>
  <si>
    <t>Results</t>
  </si>
  <si>
    <t>Design login screen</t>
  </si>
  <si>
    <t>Create wireframes for the login page
- include MFA enrollment
- validate error states</t>
  </si>
  <si>
    <t>0</t>
  </si>
  <si>
    <t>8</t>
  </si>
  <si>
    <t>UI matches specs and error states are covered</t>
  </si>
  <si>
    <t>Created from Excel system init</t>
  </si>
  <si>
    <t>Implement authentication</t>
  </si>
  <si>
    <t>JWT-based auth implementation (access + refresh tokens)</t>
  </si>
  <si>
    <t>35</t>
  </si>
  <si>
    <t>admin</t>
  </si>
  <si>
    <t>Tokens validated; refresh rotation; logout invalidates tokens</t>
  </si>
  <si>
    <t>Security review pending</t>
  </si>
  <si>
    <t>Write unit tests</t>
  </si>
  <si>
    <t>Cover authentication service with tests; include edge cases (Safari, iOS)</t>
  </si>
  <si>
    <t>5</t>
  </si>
  <si>
    <t>4.5</t>
  </si>
  <si>
    <t>Happy path + edge cases pass on CI</t>
  </si>
  <si>
    <t>Use Playwright + unit test mix</t>
  </si>
  <si>
    <t>Document rollout plan</t>
  </si>
  <si>
    <t>Release notes + runbook update</t>
  </si>
  <si>
    <t>Runbook includes rollback steps</t>
  </si>
  <si>
    <t>Verify formula date</t>
  </si>
  <si>
    <t>Due date is generated via formula: G7+14 (safe POI-evaluable date arithmetic)</t>
  </si>
  <si>
    <t>Date formula evaluated on import</t>
  </si>
  <si>
    <t># Issue import template</t>
  </si>
  <si>
    <t># Columns: Name (required), Description, Status, Issue Type, Due Date, Linked Activity, Assigned To</t>
  </si>
  <si>
    <t># Issue Type must match an existing issue type (e.g. Bug, Improvement, Task, Feature Request, Documentation)</t>
  </si>
  <si>
    <t>Issue  Type</t>
  </si>
  <si>
    <t>Linked Activity</t>
  </si>
  <si>
    <t>Login button broken on Safari</t>
  </si>
  <si>
    <t>Login button does not respond on Safari 16
Repro: iPhone 15 Pro / iOS 19</t>
  </si>
  <si>
    <t>Improve dashboard load time</t>
  </si>
  <si>
    <t>Dashboard takes &gt; 5s to load with 100+ projects</t>
  </si>
  <si>
    <t>Missing export button in reports</t>
  </si>
  <si>
    <t>Add CSV export to all report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</si>
</sst>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true" applyFill="true" applyBorder="true"/>
    <xf numFmtId="0" fontId="2" fillId="0" borderId="0" xfId="0" applyFont="true"/>
    <xf numFmtId="0" fontId="3" fillId="3" borderId="1" xfId="0" applyFont="true" applyFill="true" applyBorder="true"/>
    <xf numFmtId="0" fontId="4" fillId="0" borderId="0" xfId="0" applyFont="true"/>
    <xf numFmtId="0" fontId="5" fillId="3" borderId="1" xfId="0" applyFont="true" applyFill="true" applyBorder="true"/>
    <xf numFmtId="0" fontId="6" fillId="0" borderId="0" xfId="0" applyFont="true"/>
    <xf numFmtId="0" fontId="7" fillId="3" borderId="1" xfId="0" applyFont="true" applyFill="true" applyBorder="true"/>
    <xf numFmtId="0" fontId="8" fillId="0" borderId="0" xfId="0" applyFont="true"/>
    <xf numFmtId="0" fontId="9" fillId="3" borderId="1" xfId="0" applyFont="true" applyFill="true" applyBorder="true"/>
    <xf numFmtId="0" fontId="10" fillId="0" borderId="0" xfId="0" applyFont="true"/>
    <xf numFmtId="0" fontId="11" fillId="3" borderId="1" xfId="0" applyFont="true" applyFill="true" applyBorder="true"/>
    <xf numFmtId="0" fontId="12" fillId="0" borderId="0" xfId="0" applyFont="true"/>
    <xf numFmtId="0" fontId="13" fillId="3" borderId="1" xfId="0" applyFont="true" applyFill="true" applyBorder="true"/>
    <xf numFmtId="0" fontId="14" fillId="0" borderId="0" xfId="0" applyFont="true"/>
    <xf numFmtId="0" fontId="15" fillId="3" borderId="1" xfId="0" applyFont="true" applyFill="true" applyBorder="true"/>
    <xf numFmtId="0" fontId="16" fillId="0" borderId="0" xfId="0" applyFont="true"/>
    <xf numFmtId="0" fontId="17" fillId="3" borderId="1" xfId="0" applyFont="true" applyFill="true" applyBorder="true"/>
    <xf numFmtId="0" fontId="18" fillId="0" borderId="0" xfId="0" applyFont="true"/>
    <xf numFmtId="164" fontId="0" fillId="0" borderId="0" xfId="0" applyNumberFormat="true"/>
    <xf numFmtId="0" fontId="19" fillId="3" borderId="1" xfId="0" applyFont="true" applyFill="true" applyBorder="true"/>
    <xf numFmtId="0" fontId="20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50.99609375" customWidth="true" bestFit="true"/>
    <col min="2" max="2" width="11.17578125" customWidth="true" bestFit="true"/>
    <col min="3" max="3" width="8.3203125" customWidth="true" bestFit="true"/>
    <col min="4" max="4" width="9.9453125" customWidth="true" bestFit="true"/>
  </cols>
  <sheetData>
    <row r="1">
      <c r="A1" t="s" s="2">
        <v>0</v>
      </c>
    </row>
    <row r="2">
      <c r="A2" t="s" s="2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</row>
    <row r="4">
      <c r="A4" t="s" s="0">
        <v>6</v>
      </c>
      <c r="B4" t="s" s="0">
        <v>7</v>
      </c>
      <c r="C4" t="s" s="0">
        <v>8</v>
      </c>
      <c r="D4" t="s" s="0">
        <v>9</v>
      </c>
    </row>
    <row r="5">
      <c r="A5" t="s" s="0">
        <v>10</v>
      </c>
      <c r="B5" t="s" s="0">
        <v>7</v>
      </c>
      <c r="C5" t="s" s="0">
        <v>11</v>
      </c>
      <c r="D5" t="s" s="0">
        <v>9</v>
      </c>
    </row>
    <row r="6">
      <c r="A6" t="s" s="0">
        <v>12</v>
      </c>
      <c r="B6" t="s" s="0">
        <v>13</v>
      </c>
      <c r="C6" t="s" s="0">
        <v>14</v>
      </c>
      <c r="D6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22.9140625" customWidth="true" bestFit="true"/>
  </cols>
  <sheetData>
    <row r="1">
      <c r="A1" t="s" s="4">
        <v>15</v>
      </c>
    </row>
    <row r="2">
      <c r="A2" t="s" s="4">
        <v>16</v>
      </c>
    </row>
    <row r="3">
      <c r="A3" t="s" s="3">
        <v>2</v>
      </c>
    </row>
    <row r="4">
      <c r="A4" t="s" s="0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81.234375" customWidth="true" bestFit="true"/>
    <col min="2" max="2" width="11.49609375" customWidth="true" bestFit="true"/>
    <col min="3" max="3" width="10.3359375" customWidth="true" bestFit="true"/>
    <col min="4" max="4" width="14.19140625" customWidth="true" bestFit="true"/>
    <col min="5" max="5" width="5.609375" customWidth="true" bestFit="true"/>
  </cols>
  <sheetData>
    <row r="1">
      <c r="A1" t="s" s="6">
        <v>18</v>
      </c>
    </row>
    <row r="2">
      <c r="A2" t="s" s="6">
        <v>19</v>
      </c>
    </row>
    <row r="3">
      <c r="A3" t="s" s="5">
        <v>20</v>
      </c>
      <c r="B3" t="s" s="5">
        <v>21</v>
      </c>
      <c r="C3" t="s" s="5">
        <v>22</v>
      </c>
      <c r="D3" t="s" s="5">
        <v>23</v>
      </c>
      <c r="E3" t="s" s="5">
        <v>24</v>
      </c>
    </row>
    <row r="4">
      <c r="A4" t="s" s="0">
        <v>17</v>
      </c>
      <c r="B4" t="s" s="0">
        <v>6</v>
      </c>
      <c r="C4" t="s" s="0">
        <v>10</v>
      </c>
      <c r="D4" t="s" s="0">
        <v>13</v>
      </c>
      <c r="E4" t="s" s="0">
        <v>25</v>
      </c>
    </row>
    <row r="5">
      <c r="A5" t="s" s="0">
        <v>17</v>
      </c>
      <c r="B5" t="s" s="0">
        <v>10</v>
      </c>
      <c r="C5" t="s" s="0">
        <v>12</v>
      </c>
      <c r="D5" t="s" s="0">
        <v>7</v>
      </c>
      <c r="E5" t="s" s="0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56.17578125" customWidth="true" bestFit="true"/>
    <col min="2" max="2" width="8.390625" customWidth="true" bestFit="true"/>
    <col min="3" max="3" width="10.109375" customWidth="true" bestFit="true"/>
    <col min="4" max="4" width="12.55859375" customWidth="true" bestFit="true"/>
    <col min="5" max="5" width="9.44140625" customWidth="true" bestFit="true"/>
  </cols>
  <sheetData>
    <row r="1">
      <c r="A1" t="s" s="8">
        <v>26</v>
      </c>
    </row>
    <row r="2">
      <c r="A2" t="s" s="8">
        <v>27</v>
      </c>
    </row>
    <row r="3">
      <c r="A3" t="s" s="7">
        <v>2</v>
      </c>
      <c r="B3" t="s" s="7">
        <v>4</v>
      </c>
      <c r="C3" t="s" s="7">
        <v>28</v>
      </c>
      <c r="D3" t="s" s="7">
        <v>29</v>
      </c>
      <c r="E3" t="s" s="7">
        <v>30</v>
      </c>
    </row>
    <row r="4">
      <c r="A4" t="s" s="0">
        <v>31</v>
      </c>
      <c r="B4" t="s" s="0">
        <v>32</v>
      </c>
      <c r="C4" t="s" s="0">
        <v>33</v>
      </c>
      <c r="D4" t="s" s="0">
        <v>34</v>
      </c>
      <c r="E4" t="s" s="0">
        <v>7</v>
      </c>
    </row>
    <row r="5">
      <c r="A5" t="s" s="0">
        <v>35</v>
      </c>
      <c r="B5" t="s" s="0">
        <v>36</v>
      </c>
      <c r="C5" t="s" s="0">
        <v>37</v>
      </c>
      <c r="D5" t="s" s="0">
        <v>38</v>
      </c>
      <c r="E5" t="s" s="0">
        <v>7</v>
      </c>
    </row>
    <row r="6">
      <c r="A6" t="s" s="0">
        <v>39</v>
      </c>
      <c r="B6" t="s" s="0">
        <v>11</v>
      </c>
      <c r="C6" t="s" s="0">
        <v>40</v>
      </c>
      <c r="D6" t="s" s="0">
        <v>41</v>
      </c>
      <c r="E6" t="s" s="0">
        <v>13</v>
      </c>
    </row>
    <row r="7">
      <c r="A7" t="s" s="0">
        <v>42</v>
      </c>
      <c r="B7" t="s" s="0">
        <v>8</v>
      </c>
      <c r="C7" t="s" s="0">
        <v>43</v>
      </c>
      <c r="D7" t="s" s="0">
        <v>44</v>
      </c>
      <c r="E7" t="s" s="0">
        <v>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77.05078125" customWidth="true" bestFit="true"/>
    <col min="2" max="2" width="8.42578125" customWidth="true" bestFit="true"/>
    <col min="3" max="3" width="10.109375" customWidth="true" bestFit="true"/>
    <col min="4" max="4" width="5.51953125" customWidth="true" bestFit="true"/>
    <col min="5" max="5" width="16.99609375" customWidth="true" bestFit="true"/>
    <col min="6" max="6" width="13.42578125" customWidth="true" bestFit="true"/>
    <col min="7" max="7" width="15.19921875" customWidth="true" bestFit="true"/>
  </cols>
  <sheetData>
    <row r="1">
      <c r="A1" t="s" s="10">
        <v>45</v>
      </c>
    </row>
    <row r="2">
      <c r="A2" t="s" s="10">
        <v>46</v>
      </c>
    </row>
    <row r="3">
      <c r="A3" t="s" s="9">
        <v>2</v>
      </c>
      <c r="B3" t="s" s="9">
        <v>4</v>
      </c>
      <c r="C3" t="s" s="9">
        <v>28</v>
      </c>
      <c r="D3" t="s" s="9">
        <v>47</v>
      </c>
      <c r="E3" t="s" s="9">
        <v>48</v>
      </c>
      <c r="F3" t="s" s="9">
        <v>49</v>
      </c>
      <c r="G3" t="s" s="9">
        <v>20</v>
      </c>
    </row>
    <row r="4">
      <c r="A4" t="s" s="0">
        <v>50</v>
      </c>
      <c r="B4" t="s" s="0">
        <v>51</v>
      </c>
      <c r="C4" t="s" s="0">
        <v>33</v>
      </c>
      <c r="D4" t="s" s="0">
        <v>52</v>
      </c>
      <c r="E4" t="s" s="0">
        <v>7</v>
      </c>
      <c r="F4" t="s" s="0">
        <v>7</v>
      </c>
      <c r="G4" t="s" s="0">
        <v>17</v>
      </c>
    </row>
    <row r="5">
      <c r="A5" t="s" s="0">
        <v>53</v>
      </c>
      <c r="B5" t="s" s="0">
        <v>54</v>
      </c>
      <c r="C5" t="s" s="0">
        <v>37</v>
      </c>
      <c r="D5" t="s" s="0">
        <v>52</v>
      </c>
      <c r="E5" t="s" s="0">
        <v>7</v>
      </c>
      <c r="F5" t="s" s="0">
        <v>7</v>
      </c>
      <c r="G5" t="s" s="0">
        <v>17</v>
      </c>
    </row>
    <row r="6">
      <c r="A6" t="s" s="0">
        <v>55</v>
      </c>
      <c r="B6" t="s" s="0">
        <v>56</v>
      </c>
      <c r="C6" t="s" s="0">
        <v>40</v>
      </c>
      <c r="D6" t="s" s="0">
        <v>52</v>
      </c>
      <c r="E6" t="s" s="0">
        <v>7</v>
      </c>
      <c r="F6" t="s" s="0">
        <v>7</v>
      </c>
      <c r="G6" t="s" s="0">
        <v>17</v>
      </c>
    </row>
    <row r="7">
      <c r="A7" t="s" s="0">
        <v>57</v>
      </c>
      <c r="B7" t="s" s="0">
        <v>58</v>
      </c>
      <c r="C7" t="s" s="0">
        <v>43</v>
      </c>
      <c r="D7" t="s" s="0">
        <v>52</v>
      </c>
      <c r="E7" t="s" s="0">
        <v>7</v>
      </c>
      <c r="F7" t="s" s="0">
        <v>7</v>
      </c>
      <c r="G7" t="s" s="0">
        <v>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77.05078125" customWidth="true" bestFit="true"/>
    <col min="2" max="2" width="8.3203125" customWidth="true" bestFit="true"/>
    <col min="3" max="3" width="10.109375" customWidth="true" bestFit="true"/>
    <col min="4" max="4" width="5.51953125" customWidth="true" bestFit="true"/>
    <col min="5" max="5" width="16.99609375" customWidth="true" bestFit="true"/>
    <col min="6" max="6" width="13.42578125" customWidth="true" bestFit="true"/>
    <col min="7" max="7" width="15.19921875" customWidth="true" bestFit="true"/>
  </cols>
  <sheetData>
    <row r="1">
      <c r="A1" t="s" s="12">
        <v>59</v>
      </c>
    </row>
    <row r="2">
      <c r="A2" t="s" s="12">
        <v>46</v>
      </c>
    </row>
    <row r="3">
      <c r="A3" t="s" s="11">
        <v>2</v>
      </c>
      <c r="B3" t="s" s="11">
        <v>4</v>
      </c>
      <c r="C3" t="s" s="11">
        <v>28</v>
      </c>
      <c r="D3" t="s" s="11">
        <v>47</v>
      </c>
      <c r="E3" t="s" s="11">
        <v>48</v>
      </c>
      <c r="F3" t="s" s="11">
        <v>49</v>
      </c>
      <c r="G3" t="s" s="11">
        <v>20</v>
      </c>
    </row>
    <row r="4">
      <c r="A4" t="s" s="0">
        <v>60</v>
      </c>
      <c r="B4" t="s" s="0">
        <v>36</v>
      </c>
      <c r="C4" t="s" s="0">
        <v>33</v>
      </c>
      <c r="D4" t="s" s="0">
        <v>52</v>
      </c>
      <c r="E4" t="s" s="0">
        <v>7</v>
      </c>
      <c r="F4" t="s" s="0">
        <v>7</v>
      </c>
      <c r="G4" t="s" s="0">
        <v>17</v>
      </c>
    </row>
    <row r="5">
      <c r="A5" t="s" s="0">
        <v>61</v>
      </c>
      <c r="B5" t="s" s="0">
        <v>8</v>
      </c>
      <c r="C5" t="s" s="0">
        <v>37</v>
      </c>
      <c r="D5" t="s" s="0">
        <v>52</v>
      </c>
      <c r="E5" t="s" s="0">
        <v>7</v>
      </c>
      <c r="F5" t="s" s="0">
        <v>7</v>
      </c>
      <c r="G5" t="s" s="0">
        <v>17</v>
      </c>
    </row>
    <row r="6">
      <c r="A6" t="s" s="0">
        <v>62</v>
      </c>
      <c r="B6" t="s" s="0">
        <v>63</v>
      </c>
      <c r="C6" t="s" s="0">
        <v>40</v>
      </c>
      <c r="D6" t="s" s="0">
        <v>52</v>
      </c>
      <c r="E6" t="s" s="0">
        <v>7</v>
      </c>
      <c r="F6" t="s" s="0">
        <v>7</v>
      </c>
      <c r="G6" t="s" s="0">
        <v>17</v>
      </c>
    </row>
    <row r="7">
      <c r="A7" t="s" s="0">
        <v>64</v>
      </c>
      <c r="B7" t="s" s="0">
        <v>65</v>
      </c>
      <c r="C7" t="s" s="0">
        <v>43</v>
      </c>
      <c r="D7" t="s" s="0">
        <v>52</v>
      </c>
      <c r="E7" t="s" s="0">
        <v>7</v>
      </c>
      <c r="F7" t="s" s="0">
        <v>7</v>
      </c>
      <c r="G7" t="s" s="0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92.55078125" customWidth="true" bestFit="true"/>
    <col min="2" max="2" width="16.671875" customWidth="true" bestFit="true"/>
    <col min="3" max="3" width="41.7109375" customWidth="true" bestFit="true"/>
    <col min="4" max="4" width="20.73046875" customWidth="true" bestFit="true"/>
    <col min="5" max="5" width="9.7734375" customWidth="true" bestFit="true"/>
  </cols>
  <sheetData>
    <row r="1">
      <c r="A1" t="s" s="14">
        <v>66</v>
      </c>
    </row>
    <row r="2">
      <c r="A2" t="s" s="14">
        <v>67</v>
      </c>
    </row>
    <row r="3">
      <c r="A3" t="s" s="13">
        <v>2</v>
      </c>
      <c r="B3" t="s" s="13">
        <v>68</v>
      </c>
      <c r="C3" t="s" s="13">
        <v>69</v>
      </c>
      <c r="D3" t="s" s="13">
        <v>70</v>
      </c>
      <c r="E3" t="s" s="13">
        <v>71</v>
      </c>
    </row>
    <row r="4">
      <c r="A4" t="s" s="0">
        <v>72</v>
      </c>
      <c r="B4" t="s" s="0">
        <v>73</v>
      </c>
      <c r="C4" t="s" s="0">
        <v>74</v>
      </c>
      <c r="D4" t="s" s="0">
        <v>75</v>
      </c>
      <c r="E4" t="s" s="0">
        <v>7</v>
      </c>
    </row>
    <row r="5">
      <c r="A5" t="s" s="0">
        <v>76</v>
      </c>
      <c r="B5" t="s" s="0">
        <v>77</v>
      </c>
      <c r="C5" t="s" s="0">
        <v>78</v>
      </c>
      <c r="D5" t="s" s="0">
        <v>75</v>
      </c>
      <c r="E5" t="s" s="0">
        <v>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92.71484375" customWidth="true" bestFit="true"/>
    <col min="2" max="2" width="20.0859375" customWidth="true" bestFit="true"/>
    <col min="3" max="3" width="11.48828125" customWidth="true" bestFit="true"/>
    <col min="4" max="4" width="13.875" customWidth="true" bestFit="true"/>
    <col min="5" max="5" width="17.8515625" customWidth="true" bestFit="true"/>
    <col min="6" max="6" width="11.05859375" customWidth="true" bestFit="true"/>
    <col min="7" max="7" width="22.27734375" customWidth="true" bestFit="true"/>
    <col min="8" max="8" width="12.171875" customWidth="true" bestFit="true"/>
    <col min="9" max="9" width="7.98046875" customWidth="true" bestFit="true"/>
  </cols>
  <sheetData>
    <row r="1">
      <c r="A1" t="s" s="16">
        <v>79</v>
      </c>
    </row>
    <row r="2">
      <c r="A2" t="s" s="16">
        <v>80</v>
      </c>
    </row>
    <row r="3">
      <c r="A3" t="s" s="15">
        <v>2</v>
      </c>
      <c r="B3" t="s" s="15">
        <v>81</v>
      </c>
      <c r="C3" t="s" s="15">
        <v>82</v>
      </c>
      <c r="D3" t="s" s="15">
        <v>83</v>
      </c>
      <c r="E3" t="s" s="15">
        <v>84</v>
      </c>
      <c r="F3" t="s" s="15">
        <v>5</v>
      </c>
      <c r="G3" t="s" s="15">
        <v>85</v>
      </c>
      <c r="H3" t="s" s="15">
        <v>86</v>
      </c>
      <c r="I3" t="s" s="15">
        <v>87</v>
      </c>
    </row>
    <row r="4">
      <c r="A4" t="s" s="0">
        <v>88</v>
      </c>
      <c r="B4" t="s" s="0">
        <v>89</v>
      </c>
      <c r="C4" t="s" s="0">
        <v>90</v>
      </c>
      <c r="D4" t="s" s="0">
        <v>91</v>
      </c>
      <c r="E4" t="s" s="0">
        <v>92</v>
      </c>
      <c r="F4" t="s" s="0">
        <v>93</v>
      </c>
      <c r="G4" t="s" s="0">
        <v>13</v>
      </c>
      <c r="H4" t="s" s="0">
        <v>72</v>
      </c>
      <c r="I4" t="s" s="0">
        <v>25</v>
      </c>
    </row>
    <row r="5">
      <c r="A5" t="s" s="0">
        <v>94</v>
      </c>
      <c r="B5" t="s" s="0">
        <v>95</v>
      </c>
      <c r="C5" t="s" s="0">
        <v>96</v>
      </c>
      <c r="D5" t="s" s="0">
        <v>97</v>
      </c>
      <c r="E5" t="s" s="0">
        <v>98</v>
      </c>
      <c r="F5" t="s" s="0">
        <v>99</v>
      </c>
      <c r="G5" t="s" s="0">
        <v>13</v>
      </c>
      <c r="H5" t="s" s="0">
        <v>76</v>
      </c>
      <c r="I5" t="s" s="0">
        <v>25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10"/>
  <sheetViews>
    <sheetView workbookViewId="0"/>
  </sheetViews>
  <sheetFormatPr defaultRowHeight="15.0"/>
  <cols>
    <col min="1" max="1" width="80.453125" customWidth="true" bestFit="true"/>
    <col min="2" max="2" width="64.8671875" customWidth="true" bestFit="true"/>
    <col min="3" max="3" width="10.3359375" customWidth="true" bestFit="true"/>
    <col min="4" max="4" width="13.69921875" customWidth="true" bestFit="true"/>
    <col min="5" max="5" width="7.7265625" customWidth="true" bestFit="true"/>
    <col min="6" max="6" width="10.7734375" customWidth="true" bestFit="true"/>
    <col min="7" max="7" width="10.0390625" customWidth="true" bestFit="true"/>
    <col min="8" max="8" width="15.640625" customWidth="true" bestFit="true"/>
    <col min="9" max="9" width="11.51953125" customWidth="true" bestFit="true"/>
    <col min="10" max="10" width="11.47265625" customWidth="true" bestFit="true"/>
    <col min="11" max="11" width="16.34375" customWidth="true" bestFit="true"/>
    <col min="12" max="12" width="11.359375" customWidth="true" bestFit="true"/>
    <col min="13" max="13" width="50.203125" customWidth="true" bestFit="true"/>
    <col min="14" max="14" width="25.83984375" customWidth="true" bestFit="true"/>
    <col min="15" max="15" width="7.30078125" customWidth="true" bestFit="true"/>
  </cols>
  <sheetData>
    <row r="1">
      <c r="A1" t="s" s="18">
        <v>100</v>
      </c>
    </row>
    <row r="2">
      <c r="A2" t="s" s="18">
        <v>101</v>
      </c>
    </row>
    <row r="3">
      <c r="A3" t="s" s="18">
        <v>102</v>
      </c>
    </row>
    <row r="4">
      <c r="A4" t="s" s="18">
        <v>103</v>
      </c>
    </row>
    <row r="5">
      <c r="A5" t="s" s="17">
        <v>2</v>
      </c>
      <c r="B5" t="s" s="17">
        <v>104</v>
      </c>
      <c r="C5" t="s" s="17">
        <v>105</v>
      </c>
      <c r="D5" t="s" s="17">
        <v>106</v>
      </c>
      <c r="E5" t="s" s="17">
        <v>107</v>
      </c>
      <c r="F5" t="s" s="17">
        <v>108</v>
      </c>
      <c r="G5" t="s" s="17">
        <v>109</v>
      </c>
      <c r="H5" t="s" s="17">
        <v>110</v>
      </c>
      <c r="I5" t="s" s="17">
        <v>111</v>
      </c>
      <c r="J5" t="s" s="17">
        <v>112</v>
      </c>
      <c r="K5" t="s" s="17">
        <v>113</v>
      </c>
      <c r="L5" t="s" s="17">
        <v>114</v>
      </c>
      <c r="M5" t="s" s="17">
        <v>115</v>
      </c>
      <c r="N5" t="s" s="17">
        <v>116</v>
      </c>
      <c r="O5" t="s" s="17">
        <v>117</v>
      </c>
    </row>
    <row r="6">
      <c r="A6" t="s" s="0">
        <v>118</v>
      </c>
      <c r="B6" t="s" s="0">
        <v>119</v>
      </c>
      <c r="C6" t="s" s="0">
        <v>6</v>
      </c>
      <c r="D6" t="s" s="0">
        <v>50</v>
      </c>
      <c r="E6" t="s" s="0">
        <v>35</v>
      </c>
      <c r="F6" s="19" t="n">
        <v>45818.0</v>
      </c>
      <c r="G6" s="19" t="n">
        <v>45823.0</v>
      </c>
      <c r="H6" s="19"/>
      <c r="I6" t="s" s="0">
        <v>120</v>
      </c>
      <c r="J6" t="s" s="0">
        <v>41</v>
      </c>
      <c r="K6" t="s" s="0">
        <v>121</v>
      </c>
      <c r="L6" t="s" s="0">
        <v>25</v>
      </c>
      <c r="M6" t="s" s="0">
        <v>122</v>
      </c>
      <c r="N6" t="s" s="0">
        <v>123</v>
      </c>
      <c r="O6" t="s" s="0">
        <v>25</v>
      </c>
    </row>
    <row r="7">
      <c r="A7" t="s" s="0">
        <v>124</v>
      </c>
      <c r="B7" t="s" s="0">
        <v>125</v>
      </c>
      <c r="C7" t="s" s="0">
        <v>10</v>
      </c>
      <c r="D7" t="s" s="0">
        <v>53</v>
      </c>
      <c r="E7" t="s" s="0">
        <v>31</v>
      </c>
      <c r="F7" s="19" t="n">
        <v>45820.0</v>
      </c>
      <c r="G7" s="19" t="n">
        <v>45828.0</v>
      </c>
      <c r="H7" s="19"/>
      <c r="I7" t="s" s="0">
        <v>126</v>
      </c>
      <c r="J7" t="s" s="0">
        <v>121</v>
      </c>
      <c r="K7" s="0">
        <f>4+4</f>
      </c>
      <c r="L7" t="s" s="0">
        <v>127</v>
      </c>
      <c r="M7" t="s" s="0">
        <v>128</v>
      </c>
      <c r="N7" t="s" s="0">
        <v>129</v>
      </c>
      <c r="O7" t="s" s="0">
        <v>25</v>
      </c>
    </row>
    <row r="8">
      <c r="A8" t="s" s="0">
        <v>130</v>
      </c>
      <c r="B8" t="s" s="0">
        <v>131</v>
      </c>
      <c r="C8" t="s" s="0">
        <v>6</v>
      </c>
      <c r="D8" t="s" s="0">
        <v>55</v>
      </c>
      <c r="E8" t="s" s="0">
        <v>39</v>
      </c>
      <c r="F8" s="19" t="n">
        <v>45823.0</v>
      </c>
      <c r="G8" s="19" t="n">
        <v>45833.0</v>
      </c>
      <c r="H8" s="19"/>
      <c r="I8" t="s" s="0">
        <v>120</v>
      </c>
      <c r="J8" t="s" s="0">
        <v>132</v>
      </c>
      <c r="K8" t="s" s="0">
        <v>133</v>
      </c>
      <c r="L8" t="s" s="0">
        <v>127</v>
      </c>
      <c r="M8" t="s" s="0">
        <v>134</v>
      </c>
      <c r="N8" t="s" s="0">
        <v>135</v>
      </c>
      <c r="O8" t="s" s="0">
        <v>25</v>
      </c>
    </row>
    <row r="9">
      <c r="A9" t="s" s="0">
        <v>136</v>
      </c>
      <c r="B9" t="s" s="0">
        <v>137</v>
      </c>
      <c r="C9" t="s" s="0">
        <v>25</v>
      </c>
      <c r="D9" t="s" s="0">
        <v>57</v>
      </c>
      <c r="E9" t="s" s="0">
        <v>42</v>
      </c>
      <c r="F9" s="19" t="n">
        <v>45824.0</v>
      </c>
      <c r="G9" s="19" t="n">
        <v>45826.0</v>
      </c>
      <c r="H9" s="19"/>
      <c r="I9" t="s" s="0">
        <v>120</v>
      </c>
      <c r="J9" t="s" s="0">
        <v>38</v>
      </c>
      <c r="K9" t="s" s="0">
        <v>38</v>
      </c>
      <c r="L9" t="s" s="0">
        <v>25</v>
      </c>
      <c r="M9" t="s" s="0">
        <v>138</v>
      </c>
      <c r="N9" t="s" s="0">
        <v>25</v>
      </c>
      <c r="O9" t="s" s="0">
        <v>25</v>
      </c>
    </row>
    <row r="10">
      <c r="A10" t="s" s="0">
        <v>139</v>
      </c>
      <c r="B10" t="s" s="0">
        <v>140</v>
      </c>
      <c r="C10" t="s" s="0">
        <v>6</v>
      </c>
      <c r="D10" t="s" s="0">
        <v>55</v>
      </c>
      <c r="E10" t="s" s="0">
        <v>42</v>
      </c>
      <c r="F10" s="19" t="n">
        <v>45809.0</v>
      </c>
      <c r="G10" s="19" t="n">
        <f>G7+14</f>
        <v>45809.0</v>
      </c>
      <c r="H10" s="19"/>
      <c r="I10" t="s" s="0">
        <v>120</v>
      </c>
      <c r="J10" t="s" s="0">
        <v>34</v>
      </c>
      <c r="K10" t="s" s="0">
        <v>34</v>
      </c>
      <c r="L10" t="s" s="0">
        <v>25</v>
      </c>
      <c r="M10" t="s" s="0">
        <v>141</v>
      </c>
      <c r="N10" t="s" s="0">
        <v>25</v>
      </c>
      <c r="O10" t="s" s="0">
        <v>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86.87109375" customWidth="true" bestFit="true"/>
    <col min="2" max="2" width="40.23046875" customWidth="true" bestFit="true"/>
    <col min="3" max="3" width="6.4921875" customWidth="true" bestFit="true"/>
    <col min="4" max="4" width="14.34375" customWidth="true" bestFit="true"/>
    <col min="5" max="5" width="10.0390625" customWidth="true" bestFit="true"/>
    <col min="6" max="6" width="22.40234375" customWidth="true" bestFit="true"/>
    <col min="7" max="7" width="11.359375" customWidth="true" bestFit="true"/>
  </cols>
  <sheetData>
    <row r="1">
      <c r="A1" t="s" s="21">
        <v>142</v>
      </c>
    </row>
    <row r="2">
      <c r="A2" t="s" s="21">
        <v>143</v>
      </c>
    </row>
    <row r="3">
      <c r="A3" t="s" s="21">
        <v>144</v>
      </c>
    </row>
    <row r="4">
      <c r="A4" t="s" s="20">
        <v>2</v>
      </c>
      <c r="B4" t="s" s="20">
        <v>104</v>
      </c>
      <c r="C4" t="s" s="20">
        <v>105</v>
      </c>
      <c r="D4" t="s" s="20">
        <v>145</v>
      </c>
      <c r="E4" t="s" s="20">
        <v>109</v>
      </c>
      <c r="F4" t="s" s="20">
        <v>146</v>
      </c>
      <c r="G4" t="s" s="20">
        <v>114</v>
      </c>
    </row>
    <row r="5">
      <c r="A5" t="s" s="0">
        <v>147</v>
      </c>
      <c r="B5" t="s" s="0">
        <v>148</v>
      </c>
      <c r="C5" t="s" s="0">
        <v>6</v>
      </c>
      <c r="D5" t="s" s="0">
        <v>60</v>
      </c>
      <c r="E5" t="n" s="22">
        <v>45818.0</v>
      </c>
      <c r="F5" t="s" s="0">
        <v>124</v>
      </c>
      <c r="G5" t="s" s="0">
        <v>127</v>
      </c>
    </row>
    <row r="6">
      <c r="A6" t="s" s="0">
        <v>149</v>
      </c>
      <c r="B6" t="s" s="0">
        <v>150</v>
      </c>
      <c r="C6" t="s" s="0">
        <v>6</v>
      </c>
      <c r="D6" t="s" s="0">
        <v>61</v>
      </c>
      <c r="E6" t="n" s="22">
        <v>45838.0</v>
      </c>
      <c r="F6" t="s" s="0">
        <v>130</v>
      </c>
      <c r="G6" t="s" s="0">
        <v>127</v>
      </c>
    </row>
    <row r="7">
      <c r="A7" t="s" s="0">
        <v>151</v>
      </c>
      <c r="B7" t="s" s="0">
        <v>152</v>
      </c>
      <c r="C7" t="s" s="0">
        <v>6</v>
      </c>
      <c r="D7" t="s" s="0">
        <v>64</v>
      </c>
      <c r="E7" t="n" s="22">
        <v>45843.0</v>
      </c>
      <c r="F7" t="s" s="0">
        <v>136</v>
      </c>
      <c r="G7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2026-05-03T03:01:31Z</dcterms:created>
  <dc:creator>Apache POI</dc:creator>
</cp:coreProperties>
</file>