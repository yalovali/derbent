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 name="_xlnm._FilterDatabase" localSheetId="3" hidden="1">'Tasks'!$A$1:$G$213</definedName>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Noto Sans CJK SC"/>
      <family val="2"/>
      <color theme="1"/>
      <sz val="11"/>
    </font>
    <font>
      <name val="Calibri"/>
      <charset val="1"/>
      <family val="2"/>
      <b val="1"/>
      <color theme="1"/>
      <sz val="14"/>
    </font>
  </fonts>
  <fills count="4">
    <fill>
      <patternFill/>
    </fill>
    <fill>
      <patternFill patternType="gray125"/>
    </fill>
    <fill>
      <patternFill patternType="solid">
        <fgColor rgb="0090EE90"/>
        <bgColor rgb="0090EE90"/>
      </patternFill>
    </fill>
    <fill>
      <patternFill patternType="solid">
        <fgColor rgb="00FFFFE0"/>
        <bgColor rgb="00FFFFE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6"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vertical="top" wrapText="1"/>
    </xf>
    <xf numFmtId="0" fontId="6"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10.16015625" defaultRowHeight="15" customHeight="1" zeroHeight="0" outlineLevelRow="0"/>
  <cols>
    <col width="8.19" customWidth="1" style="5" min="1" max="1"/>
    <col width="46.75" customWidth="1" style="5" min="2" max="2"/>
    <col width="39.09" customWidth="1" style="5" min="3" max="3"/>
    <col width="47.86" customWidth="1" style="5" min="4" max="4"/>
    <col width="19.55" customWidth="1" style="5" min="5" max="5"/>
    <col width="22.33" customWidth="1" style="5" min="6" max="6"/>
    <col width="17.67" customWidth="1" style="5" min="7" max="7"/>
  </cols>
  <sheetData>
    <row r="1" ht="15" customHeight="1" s="6">
      <c r="A1" s="7" t="inlineStr">
        <is>
          <t>Epic ID</t>
        </is>
      </c>
      <c r="B1" s="7" t="inlineStr">
        <is>
          <t>Epic</t>
        </is>
      </c>
      <c r="C1" s="7" t="inlineStr">
        <is>
          <t>Description</t>
        </is>
      </c>
      <c r="D1" s="7" t="inlineStr">
        <is>
          <t>Managerial Reasoning</t>
        </is>
      </c>
      <c r="E1" s="7" t="inlineStr">
        <is>
          <t>Number of Features</t>
        </is>
      </c>
      <c r="F1" s="7" t="inlineStr">
        <is>
          <t>Number of User Stories</t>
        </is>
      </c>
      <c r="G1" s="7" t="inlineStr">
        <is>
          <t>Total Story Points</t>
        </is>
      </c>
    </row>
    <row r="2" ht="162.75" customHeight="1" s="6">
      <c r="A2" s="5" t="n">
        <v>1</v>
      </c>
      <c r="B2" s="5" t="inlineStr">
        <is>
          <t>Financial Management – budgeting, incomes &amp; expenses</t>
        </is>
      </c>
      <c r="C2" s="8" t="inlineStr">
        <is>
          <t>Implement modules to plan budgets, log incomes and expenses, and compare actual costs with estimates. This epic covers budgeting, cost tracking, income management, and alerts when budgets are exceeded.</t>
        </is>
      </c>
      <c r="D2"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c r="E2" s="5">
        <f>COUNTIF(Features!A:A, B2)</f>
        <v/>
      </c>
      <c r="F2" s="5">
        <f>COUNTIF(User_Stories!A:A, B2)</f>
        <v/>
      </c>
      <c r="G2" s="5">
        <f>SUMIF(Tasks!A:A, B2, Tasks!F:F)</f>
        <v/>
      </c>
    </row>
    <row r="3" ht="178.55" customHeight="1" s="6">
      <c r="A3" s="5" t="n">
        <v>2</v>
      </c>
      <c r="B3" s="5" t="inlineStr">
        <is>
          <t>Resource &amp; Timesheet Management</t>
        </is>
      </c>
      <c r="C3" s="8" t="inlineStr">
        <is>
          <t>Provide tools to define resources (people/equipment), allocate them to tasks, plan sprint capacity, and record actual work via timesheets.</t>
        </is>
      </c>
      <c r="D3"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c r="E3" s="5">
        <f>COUNTIF(Features!A:A, B3)</f>
        <v/>
      </c>
      <c r="F3" s="5">
        <f>COUNTIF(User_Stories!A:A, B3)</f>
        <v/>
      </c>
      <c r="G3" s="5">
        <f>SUMIF(Tasks!A:A, B3, Tasks!F:F)</f>
        <v/>
      </c>
    </row>
    <row r="4" ht="148.1" customHeight="1" s="6">
      <c r="A4" s="5" t="n">
        <v>3</v>
      </c>
      <c r="B4" s="5" t="inlineStr">
        <is>
          <t>Document &amp; Attachment Management</t>
        </is>
      </c>
      <c r="C4" s="8" t="inlineStr">
        <is>
          <t>Offer secure file storage, upload and download functionality, preview of common file types, version control and integration with projects, activities, meetings and risks.</t>
        </is>
      </c>
      <c r="D4"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c r="E4" s="5">
        <f>COUNTIF(Features!A:A, B4)</f>
        <v/>
      </c>
      <c r="F4" s="5">
        <f>COUNTIF(User_Stories!A:A, B4)</f>
        <v/>
      </c>
      <c r="G4" s="5">
        <f>SUMIF(Tasks!A:A, B4, Tasks!F:F)</f>
        <v/>
      </c>
    </row>
    <row r="5" ht="162.75" customHeight="1" s="6">
      <c r="A5" s="5" t="n">
        <v>4</v>
      </c>
      <c r="B5" s="5" t="inlineStr">
        <is>
          <t>Reporting &amp; Analytics</t>
        </is>
      </c>
      <c r="C5" s="8" t="inlineStr">
        <is>
          <t>Develop dashboards and reports for agile metrics (burndown, velocity), financial performance, resource utilisation and custom report generation.</t>
        </is>
      </c>
      <c r="D5"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c r="E5" s="5">
        <f>COUNTIF(Features!A:A, B5)</f>
        <v/>
      </c>
      <c r="F5" s="5">
        <f>COUNTIF(User_Stories!A:A, B5)</f>
        <v/>
      </c>
      <c r="G5" s="5">
        <f>SUMIF(Tasks!A:A, B5, Tasks!F:F)</f>
        <v/>
      </c>
    </row>
    <row r="6" ht="148.1" customHeight="1" s="6">
      <c r="A6" s="5" t="n">
        <v>5</v>
      </c>
      <c r="B6" s="5" t="inlineStr">
        <is>
          <t>Portfolio &amp; Program Management</t>
        </is>
      </c>
      <c r="C6" s="8" t="inlineStr">
        <is>
          <t>Create entities and views to group projects into portfolios and programs, manage dependencies, and provide cross-project dashboards showing status, budget and risks.</t>
        </is>
      </c>
      <c r="D6"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c r="E6" s="5">
        <f>COUNTIF(Features!A:A, B6)</f>
        <v/>
      </c>
      <c r="F6" s="5">
        <f>COUNTIF(User_Stories!A:A, B6)</f>
        <v/>
      </c>
      <c r="G6" s="5">
        <f>SUMIF(Tasks!A:A, B6, Tasks!F:F)</f>
        <v/>
      </c>
    </row>
    <row r="7" ht="133.45" customHeight="1" s="6">
      <c r="A7" s="5" t="n">
        <v>6</v>
      </c>
      <c r="B7" s="5" t="inlineStr">
        <is>
          <t>Idea &amp; Backlog Management</t>
        </is>
      </c>
      <c r="C7" s="8" t="inlineStr">
        <is>
          <t>Enable the capture of feature ideas, stakeholder voting, and maintain a prioritised backlog board to plan upcoming work.</t>
        </is>
      </c>
      <c r="D7" s="9" t="inlineStr">
        <is>
          <t xml:space="preserve">Value: Facilitates innovation by capturing stakeholder ideas and ensures backlog items are prioritised based on votes and strategic value.
Implementation risks: Risk of duplicate or low‑value ideas cluttering the backlog; requires clear policies for triaging and prioritising.
Competitor examples: • Trello and Monday.com support idea submission and voting to surface high‑value features.
</t>
        </is>
      </c>
      <c r="E7" s="5">
        <f>COUNTIF(Features!A:A, B7)</f>
        <v/>
      </c>
      <c r="F7" s="5">
        <f>COUNTIF(User_Stories!A:A, B7)</f>
        <v/>
      </c>
      <c r="G7" s="5">
        <f>SUMIF(Tasks!A:A, B7, Tasks!F:F)</f>
        <v/>
      </c>
    </row>
    <row r="8" ht="148.1" customHeight="1" s="6">
      <c r="A8" s="5" t="n">
        <v>7</v>
      </c>
      <c r="B8" s="5" t="inlineStr">
        <is>
          <t>Issue &amp; Bug Tracking</t>
        </is>
      </c>
      <c r="C8" s="8" t="inlineStr">
        <is>
          <t>Implement a dedicated issue/bug tracking system with severity and priority classification, triage workflows and integration with projects and activities.</t>
        </is>
      </c>
      <c r="D8" s="9" t="inlineStr">
        <is>
          <t xml:space="preserve">Value: Improves software quality by tracking defects and issues separately from tasks, enabling dedicated workflows for triage and resolution.
Implementation risks: Requires disciplined classification and prioritisation; duplicates and backlogs can grow quickly without proper triage.
Competitor examples: • Jira’s issue tracking system is widely used
• ProjeQtOr also includes bug tracking capabilities.
</t>
        </is>
      </c>
      <c r="E8" s="5">
        <f>COUNTIF(Features!A:A, B8)</f>
        <v/>
      </c>
      <c r="F8" s="5">
        <f>COUNTIF(User_Stories!A:A, B8)</f>
        <v/>
      </c>
      <c r="G8" s="5">
        <f>SUMIF(Tasks!A:A, B8, Tasks!F:F)</f>
        <v/>
      </c>
    </row>
    <row r="9" ht="148.1" customHeight="1" s="6">
      <c r="A9" s="5" t="n">
        <v>8</v>
      </c>
      <c r="B9" s="5" t="inlineStr">
        <is>
          <t>Calendar &amp; Scheduling Integration</t>
        </is>
      </c>
      <c r="C9" s="8" t="inlineStr">
        <is>
          <t>Provide a unified calendar view integrating sprints, meetings and task deadlines with drag-and-drop rescheduling and conflict detection.</t>
        </is>
      </c>
      <c r="D9" s="9" t="inlineStr">
        <is>
          <t xml:space="preserve">Value: Provides a unified view of sprints, meetings and task deadlines, reducing scheduling conflicts and improving team coordination.
Implementation risks: Time‑zone handling, integration with external calendars and rescheduling conflicts can be challenging.
Competitor examples: • Monday.com integrates with Google Calendar and Outlook
• Jira offers timeline and calendar views through add‑ons.
</t>
        </is>
      </c>
      <c r="E9" s="5">
        <f>COUNTIF(Features!A:A, B9)</f>
        <v/>
      </c>
      <c r="F9" s="5">
        <f>COUNTIF(User_Stories!A:A, B9)</f>
        <v/>
      </c>
      <c r="G9" s="5">
        <f>SUMIF(Tasks!A:A, B9, Tasks!F:F)</f>
        <v/>
      </c>
    </row>
    <row r="10" ht="162.75" customHeight="1" s="6">
      <c r="A10" s="5" t="n">
        <v>9</v>
      </c>
      <c r="B10" s="5" t="inlineStr">
        <is>
          <t>Permissions &amp; Role Management UI</t>
        </is>
      </c>
      <c r="C10" s="8" t="inlineStr">
        <is>
          <t>Expose a user interface to define roles, assign permissions and manage user access levels across projects and modules.</t>
        </is>
      </c>
      <c r="D10" s="9" t="inlineStr">
        <is>
          <t xml:space="preserve">Value: Empowers administrators to assign granular permissions and roles, ensuring security and compliance while reducing administrative overhead.
Implementation risks: Complexity in designing flexible yet intuitive permission structures; risk of misconfiguration leading to access issues.
Competitor examples: • Jira provides permission schemes and role management
• many enterprise tools include dedicated role administration UIs.
</t>
        </is>
      </c>
      <c r="E10" s="5">
        <f>COUNTIF(Features!A:A, B10)</f>
        <v/>
      </c>
      <c r="F10" s="5">
        <f>COUNTIF(User_Stories!A:A, B10)</f>
        <v/>
      </c>
      <c r="G10" s="5">
        <f>SUMIF(Tasks!A:A, B10, Tasks!F:F)</f>
        <v/>
      </c>
    </row>
    <row r="11" ht="162.75" customHeight="1" s="6">
      <c r="A11" s="5" t="n">
        <v>10</v>
      </c>
      <c r="B11" s="5" t="inlineStr">
        <is>
          <t>Client Portal &amp; Stakeholder Collaboration</t>
        </is>
      </c>
      <c r="C11" s="8" t="inlineStr">
        <is>
          <t>Deliver a portal for clients and stakeholders to access project status, provide feedback and approve deliverables with controlled permissions.</t>
        </is>
      </c>
      <c r="D11" s="9" t="inlineStr">
        <is>
          <t xml:space="preserve">Value: Strengthens client relationships by providing transparent access to project progress, deliverables and feedback channels.
Implementation risks: Ensuring that clients access only relevant data; adapting the UI to different client needs and maintaining security.
Competitor examples: • Products like Basecamp offer client access
• ProjeQtOr allows external stakeholders to view project information.
</t>
        </is>
      </c>
      <c r="E11" s="5">
        <f>COUNTIF(Features!A:A, B11)</f>
        <v/>
      </c>
      <c r="F11" s="5">
        <f>COUNTIF(User_Stories!A:A, B11)</f>
        <v/>
      </c>
      <c r="G11" s="5">
        <f>SUMIF(Tasks!A:A, B11, Tasks!F:F)</f>
        <v/>
      </c>
    </row>
    <row r="12" ht="133.45" customHeight="1" s="6">
      <c r="A12" s="5" t="n">
        <v>11</v>
      </c>
      <c r="B12" s="5" t="inlineStr">
        <is>
          <t>AI &amp; Automation</t>
        </is>
      </c>
      <c r="C12" s="8" t="inlineStr">
        <is>
          <t>Introduce AI-driven features such as intelligent recommendations, natural language summaries, and predictive analytics to enhance decision-making and productivity.</t>
        </is>
      </c>
      <c r="D12"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c r="E12" s="5">
        <f>COUNTIF(Features!A:A, B12)</f>
        <v/>
      </c>
      <c r="F12" s="5">
        <f>COUNTIF(User_Stories!A:A, B12)</f>
        <v/>
      </c>
      <c r="G12" s="5">
        <f>SUMIF(Tasks!A:A, B12, Tasks!F:F)</f>
        <v/>
      </c>
    </row>
    <row r="13" ht="148.1" customHeight="1" s="6">
      <c r="A13" s="5" t="n">
        <v>12</v>
      </c>
      <c r="B13" s="5" t="inlineStr">
        <is>
          <t>Notifications &amp; Integrations</t>
        </is>
      </c>
      <c r="C13" s="8" t="inlineStr">
        <is>
          <t>Implement real-time notifications and integrations with external tools (email, Slack, etc.) so teams stay informed and connected.</t>
        </is>
      </c>
      <c r="D13" s="9" t="inlineStr">
        <is>
          <t xml:space="preserve">Value: Keeps team members informed of updates through multiple channels (in‑app, email, Slack), fostering collaboration and awareness.
Implementation risks: Notification fatigue and integration failures can reduce effectiveness; requires careful design of preferences and throttling.
Competitor examples: • Monday.com supports Slack notifications and email alerts
• Jira integrates with many third‑party messaging tools.
</t>
        </is>
      </c>
      <c r="E13" s="5">
        <f>COUNTIF(Features!A:A, B13)</f>
        <v/>
      </c>
      <c r="F13" s="5">
        <f>COUNTIF(User_Stories!A:A, B13)</f>
        <v/>
      </c>
      <c r="G13" s="5">
        <f>SUMIF(Tasks!A:A, B13, Tasks!F:F)</f>
        <v/>
      </c>
    </row>
    <row r="14" ht="133.45" customHeight="1" s="6">
      <c r="A14" s="5" t="n">
        <v>13</v>
      </c>
      <c r="B14" s="5" t="inlineStr">
        <is>
          <t>Quality Assurance &amp; Testing Automation</t>
        </is>
      </c>
      <c r="C14" s="8" t="inlineStr">
        <is>
          <t>Automate end-to-end testing, code quality checks and static analysis to maintain high software quality and prevent regressions.</t>
        </is>
      </c>
      <c r="D14" s="9" t="inlineStr">
        <is>
          <t xml:space="preserve">Value: Ensures consistent software quality by automating tests and static analysis, reducing defects and speeding up releases.
Implementation risks: Test flakiness and maintenance overhead; balancing test coverage against build times.
Competitor examples: • Many teams integrate tools like Selenium, Playwright or Cypress into CI pipelines alongside code quality tools (e.g., SonarQube).
</t>
        </is>
      </c>
      <c r="E14" s="5">
        <f>COUNTIF(Features!A:A, B14)</f>
        <v/>
      </c>
      <c r="F14" s="5">
        <f>COUNTIF(User_Stories!A:A, B14)</f>
        <v/>
      </c>
      <c r="G14" s="5">
        <f>SUMIF(Tasks!A:A, B14, Tasks!F:F)</f>
        <v/>
      </c>
    </row>
    <row r="15" ht="162.75" customHeight="1" s="6">
      <c r="A15" s="5" t="n">
        <v>14</v>
      </c>
      <c r="B15" s="5" t="inlineStr">
        <is>
          <t>Internationalisation (I18n) &amp; Accessibility</t>
        </is>
      </c>
      <c r="C15" s="8" t="inlineStr">
        <is>
          <t>Enable multiple languages and ensure the UI meets accessibility standards so that Derbent can be used by diverse teams worldwide.</t>
        </is>
      </c>
      <c r="D15" s="9" t="inlineStr">
        <is>
          <t xml:space="preserve">Value: Extends Derbent’s reach globally and ensures usability for people with disabilities, aligning with legal and ethical standards.
Implementation risks: Translation management, design adaptation for different languages and implementing accessibility guidelines can be time‑consuming.
Competitor examples: • Jira and Monday.com support multiple languages and provide accessible themes
• compliance with WCAG 2.1 AA is a requirement in many regions.
</t>
        </is>
      </c>
      <c r="E15" s="5">
        <f>COUNTIF(Features!A:A, B15)</f>
        <v/>
      </c>
      <c r="F15" s="5">
        <f>COUNTIF(User_Stories!A:A, B15)</f>
        <v/>
      </c>
      <c r="G15" s="5">
        <f>SUMIF(Tasks!A:A, B15, Tasks!F:F)</f>
        <v/>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46.75" customWidth="1" style="5" min="1" max="1"/>
    <col width="43.22" customWidth="1" style="5" min="2" max="2"/>
    <col width="44.09" customWidth="1" style="5" min="3" max="3"/>
    <col width="22.33" customWidth="1" style="5" min="4" max="4"/>
    <col width="16.85" customWidth="1" style="5" min="5" max="5"/>
    <col width="17.67" customWidth="1" style="5" min="6" max="6"/>
    <col width="7.9" customWidth="1" style="5" min="7" max="7"/>
    <col width="54.98" customWidth="1" style="5" min="8" max="8"/>
  </cols>
  <sheetData>
    <row r="1" ht="15" customHeight="1" s="6">
      <c r="A1" s="7" t="inlineStr">
        <is>
          <t>Epic</t>
        </is>
      </c>
      <c r="B1" s="7" t="inlineStr">
        <is>
          <t>Feature</t>
        </is>
      </c>
      <c r="C1" s="7" t="inlineStr">
        <is>
          <t>Description</t>
        </is>
      </c>
      <c r="D1" s="7" t="inlineStr">
        <is>
          <t>Number of User Stories</t>
        </is>
      </c>
      <c r="E1" s="7" t="inlineStr">
        <is>
          <t>Number of Tasks</t>
        </is>
      </c>
      <c r="F1" s="7" t="inlineStr">
        <is>
          <t>Total Story Points</t>
        </is>
      </c>
      <c r="G1" s="7" t="inlineStr">
        <is>
          <t>Status</t>
        </is>
      </c>
      <c r="H1" s="7" t="inlineStr">
        <is>
          <t>Managerial Details</t>
        </is>
      </c>
    </row>
    <row r="2" ht="148.1" customHeight="1" s="6">
      <c r="A2" s="5" t="inlineStr">
        <is>
          <t>Financial Management – budgeting, incomes &amp; expenses</t>
        </is>
      </c>
      <c r="B2" s="5" t="inlineStr">
        <is>
          <t>Project budget and cost tracking</t>
        </is>
      </c>
      <c r="C2" s="8" t="inlineStr">
        <is>
          <t>As a project manager, I want to set an overall budget and cost baseline for a project so that I can monitor how actual spending compares to planned costs.
As a project manager, I want to record estimated and actual costs for each activity so that I can compare variance and forecast project costs.</t>
        </is>
      </c>
      <c r="D2" s="5">
        <f>COUNTIFS(User_Stories!A:A, A2, User_Stories!B:B, B2)</f>
        <v/>
      </c>
      <c r="E2" s="5">
        <f>COUNTIFS(Tasks!A:A, A2, Tasks!B:B, B2)</f>
        <v/>
      </c>
      <c r="F2" s="5">
        <f>SUMIFS(Tasks!F:F, Tasks!A:A, A2, Tasks!B:B, B2)</f>
        <v/>
      </c>
      <c r="G2" s="5">
        <f>IF(COUNTIFS(Tasks!A:A,A2,Tasks!B:B,B2,Tasks!E:E,"Done")=COUNTIFS(Tasks!A:A,A2,Tasks!B:B,B2), "Done", IF(COUNTIFS(Tasks!A:A,A2,Tasks!B:B,B2,Tasks!E:E,"Done")=0, "Todo", "Partial"))</f>
        <v/>
      </c>
      <c r="H2"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3" ht="148.1" customHeight="1" s="6">
      <c r="A3" s="5" t="inlineStr">
        <is>
          <t>Financial Management – budgeting, incomes &amp; expenses</t>
        </is>
      </c>
      <c r="B3" s="5" t="inlineStr">
        <is>
          <t>Incomes and expenses module</t>
        </is>
      </c>
      <c r="C3" s="8" t="inlineStr">
        <is>
          <t>As a finance officer, I want to log incomes (e.g., client payments) and expenses (e.g., hardware purchases) with amounts, dates and categories so that I can maintain project accounts.</t>
        </is>
      </c>
      <c r="D3" s="5">
        <f>COUNTIFS(User_Stories!A:A, A3, User_Stories!B:B, B3)</f>
        <v/>
      </c>
      <c r="E3" s="5">
        <f>COUNTIFS(Tasks!A:A, A3, Tasks!B:B, B3)</f>
        <v/>
      </c>
      <c r="F3" s="5">
        <f>SUMIFS(Tasks!F:F, Tasks!A:A, A3, Tasks!B:B, B3)</f>
        <v/>
      </c>
      <c r="G3" s="5">
        <f>IF(COUNTIFS(Tasks!A:A,A3,Tasks!B:B,B3,Tasks!E:E,"Done")=COUNTIFS(Tasks!A:A,A3,Tasks!B:B,B3), "Done", IF(COUNTIFS(Tasks!A:A,A3,Tasks!B:B,B3,Tasks!E:E,"Done")=0, "Todo", "Partial"))</f>
        <v/>
      </c>
      <c r="H3"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4" ht="148.1" customHeight="1" s="6">
      <c r="A4" s="5" t="inlineStr">
        <is>
          <t>Financial Management – budgeting, incomes &amp; expenses</t>
        </is>
      </c>
      <c r="B4" s="5" t="inlineStr">
        <is>
          <t>Budget alerts &amp; approvals</t>
        </is>
      </c>
      <c r="C4" s="8" t="inlineStr">
        <is>
          <t>As a project manager, I want to be notified when actual expenses exceed the budget so that I can take corrective actions.</t>
        </is>
      </c>
      <c r="D4" s="5">
        <f>COUNTIFS(User_Stories!A:A, A4, User_Stories!B:B, B4)</f>
        <v/>
      </c>
      <c r="E4" s="5">
        <f>COUNTIFS(Tasks!A:A, A4, Tasks!B:B, B4)</f>
        <v/>
      </c>
      <c r="F4" s="5">
        <f>SUMIFS(Tasks!F:F, Tasks!A:A, A4, Tasks!B:B, B4)</f>
        <v/>
      </c>
      <c r="G4" s="5">
        <f>IF(COUNTIFS(Tasks!A:A,A4,Tasks!B:B,B4,Tasks!E:E,"Done")=COUNTIFS(Tasks!A:A,A4,Tasks!B:B,B4), "Done", IF(COUNTIFS(Tasks!A:A,A4,Tasks!B:B,B4,Tasks!E:E,"Done")=0, "Todo", "Partial"))</f>
        <v/>
      </c>
      <c r="H4"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5" ht="149.2" customHeight="1" s="6">
      <c r="A5" s="5" t="inlineStr">
        <is>
          <t>Resource &amp; Timesheet Management</t>
        </is>
      </c>
      <c r="B5" s="5" t="inlineStr">
        <is>
          <t>Resource allocation &amp; capacity planning</t>
        </is>
      </c>
      <c r="C5" s="8" t="inlineStr">
        <is>
          <t>As a resource manager, I want to define resources (people or equipment) with skills, availability and cost rates so that I can plan project work accordingly.
As a scrum master, I want to see the capacity of my team for each sprint and compare it to the estimated effort so that I can plan workload realistically.</t>
        </is>
      </c>
      <c r="D5" s="5">
        <f>COUNTIFS(User_Stories!A:A, A5, User_Stories!B:B, B5)</f>
        <v/>
      </c>
      <c r="E5" s="5">
        <f>COUNTIFS(Tasks!A:A, A5, Tasks!B:B, B5)</f>
        <v/>
      </c>
      <c r="F5" s="5">
        <f>SUMIFS(Tasks!F:F, Tasks!A:A, A5, Tasks!B:B, B5)</f>
        <v/>
      </c>
      <c r="G5" s="5">
        <f>IF(COUNTIFS(Tasks!A:A,A5,Tasks!B:B,B5,Tasks!E:E,"Done")=COUNTIFS(Tasks!A:A,A5,Tasks!B:B,B5), "Done", IF(COUNTIFS(Tasks!A:A,A5,Tasks!B:B,B5,Tasks!E:E,"Done")=0, "Todo", "Partial"))</f>
        <v/>
      </c>
      <c r="H5"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row>
    <row r="6" ht="149.2" customHeight="1" s="6">
      <c r="A6" s="5" t="inlineStr">
        <is>
          <t>Resource &amp; Timesheet Management</t>
        </is>
      </c>
      <c r="B6" s="5" t="inlineStr">
        <is>
          <t>Timesheet &amp; time tracking</t>
        </is>
      </c>
      <c r="C6" s="8" t="inlineStr">
        <is>
          <t>As a team member, I want to record the time I spend on each activity daily so that the project manager can track progress and bill clients appropriately.</t>
        </is>
      </c>
      <c r="D6" s="5">
        <f>COUNTIFS(User_Stories!A:A, A6, User_Stories!B:B, B6)</f>
        <v/>
      </c>
      <c r="E6" s="5">
        <f>COUNTIFS(Tasks!A:A, A6, Tasks!B:B, B6)</f>
        <v/>
      </c>
      <c r="F6" s="5">
        <f>SUMIFS(Tasks!F:F, Tasks!A:A, A6, Tasks!B:B, B6)</f>
        <v/>
      </c>
      <c r="G6" s="5">
        <f>IF(COUNTIFS(Tasks!A:A,A6,Tasks!B:B,B6,Tasks!E:E,"Done")=COUNTIFS(Tasks!A:A,A6,Tasks!B:B,B6), "Done", IF(COUNTIFS(Tasks!A:A,A6,Tasks!B:B,B6,Tasks!E:E,"Done")=0, "Todo", "Partial"))</f>
        <v/>
      </c>
      <c r="H6"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row>
    <row r="7" ht="148.1" customHeight="1" s="6">
      <c r="A7" s="5" t="inlineStr">
        <is>
          <t>Document &amp; Attachment Management</t>
        </is>
      </c>
      <c r="B7" s="5" t="inlineStr">
        <is>
          <t>File storage infrastructure</t>
        </is>
      </c>
      <c r="C7" s="8" t="inlineStr">
        <is>
          <t>As any user, I want to attach files to projects, activities or risks so that all related documents are stored in one place.</t>
        </is>
      </c>
      <c r="D7" s="5">
        <f>COUNTIFS(User_Stories!A:A, A7, User_Stories!B:B, B7)</f>
        <v/>
      </c>
      <c r="E7" s="5">
        <f>COUNTIFS(Tasks!A:A, A7, Tasks!B:B, B7)</f>
        <v/>
      </c>
      <c r="F7" s="5">
        <f>SUMIFS(Tasks!F:F, Tasks!A:A, A7, Tasks!B:B, B7)</f>
        <v/>
      </c>
      <c r="G7" s="10" t="inlineStr">
        <is>
          <t>In Progress</t>
        </is>
      </c>
      <c r="H7"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row>
    <row r="8" ht="148.1" customHeight="1" s="6">
      <c r="A8" s="5" t="inlineStr">
        <is>
          <t>Document &amp; Attachment Management</t>
        </is>
      </c>
      <c r="B8" s="5" t="inlineStr">
        <is>
          <t>Document preview &amp; versioning</t>
        </is>
      </c>
      <c r="C8" s="8" t="inlineStr">
        <is>
          <t>As a user, I want to preview uploaded documents (PDFs, images) directly in the browser so that I don’t need to download them to view content.
As a user, I want to upload new versions of a document and view previous versions so that I can track changes over time.</t>
        </is>
      </c>
      <c r="D8" s="5">
        <f>COUNTIFS(User_Stories!A:A, A8, User_Stories!B:B, B8)</f>
        <v/>
      </c>
      <c r="E8" s="5">
        <f>COUNTIFS(Tasks!A:A, A8, Tasks!B:B, B8)</f>
        <v/>
      </c>
      <c r="F8" s="5">
        <f>SUMIFS(Tasks!F:F, Tasks!A:A, A8, Tasks!B:B, B8)</f>
        <v/>
      </c>
      <c r="G8" s="5">
        <f>IF(COUNTIFS(Tasks!A:A,A8,Tasks!B:B,B8,Tasks!E:E,"Done")=COUNTIFS(Tasks!A:A,A8,Tasks!B:B,B8), "Done", IF(COUNTIFS(Tasks!A:A,A8,Tasks!B:B,B8,Tasks!E:E,"Done")=0, "Todo", "Partial"))</f>
        <v/>
      </c>
      <c r="H8"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row>
    <row r="9" ht="148.1" customHeight="1" s="6">
      <c r="A9" s="5" t="inlineStr">
        <is>
          <t>Reporting &amp; Analytics</t>
        </is>
      </c>
      <c r="B9" s="5" t="inlineStr">
        <is>
          <t>Agile metrics dashboard</t>
        </is>
      </c>
      <c r="C9" s="8" t="inlineStr">
        <is>
          <t>As a scrum master, I want to see burndown and velocity charts for each sprint so that I can track progress against the sprint goal.</t>
        </is>
      </c>
      <c r="D9" s="5">
        <f>COUNTIFS(User_Stories!A:A, A9, User_Stories!B:B, B9)</f>
        <v/>
      </c>
      <c r="E9" s="5">
        <f>COUNTIFS(Tasks!A:A, A9, Tasks!B:B, B9)</f>
        <v/>
      </c>
      <c r="F9" s="5">
        <f>SUMIFS(Tasks!F:F, Tasks!A:A, A9, Tasks!B:B, B9)</f>
        <v/>
      </c>
      <c r="G9" s="5">
        <f>IF(COUNTIFS(Tasks!A:A,A9,Tasks!B:B,B9,Tasks!E:E,"Done")=COUNTIFS(Tasks!A:A,A9,Tasks!B:B,B9), "Done", IF(COUNTIFS(Tasks!A:A,A9,Tasks!B:B,B9,Tasks!E:E,"Done")=0, "Todo", "Partial"))</f>
        <v/>
      </c>
      <c r="H9"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0" ht="148.1" customHeight="1" s="6">
      <c r="A10" s="5" t="inlineStr">
        <is>
          <t>Reporting &amp; Analytics</t>
        </is>
      </c>
      <c r="B10" s="5" t="inlineStr">
        <is>
          <t>Financial and resource reports</t>
        </is>
      </c>
      <c r="C10" s="8" t="inlineStr">
        <is>
          <t>As a finance officer, I want to generate reports showing budget, expenses, incomes and profit per project so that I can review financial performance.
As a resource manager, I want to see utilisation rates for resources across projects so that I can balance workloads and improve efficiency.</t>
        </is>
      </c>
      <c r="D10" s="5">
        <f>COUNTIFS(User_Stories!A:A, A10, User_Stories!B:B, B10)</f>
        <v/>
      </c>
      <c r="E10" s="5">
        <f>COUNTIFS(Tasks!A:A, A10, Tasks!B:B, B10)</f>
        <v/>
      </c>
      <c r="F10" s="5">
        <f>SUMIFS(Tasks!F:F, Tasks!A:A, A10, Tasks!B:B, B10)</f>
        <v/>
      </c>
      <c r="G10" s="5">
        <f>IF(COUNTIFS(Tasks!A:A,A10,Tasks!B:B,B10,Tasks!E:E,"Done")=COUNTIFS(Tasks!A:A,A10,Tasks!B:B,B10), "Done", IF(COUNTIFS(Tasks!A:A,A10,Tasks!B:B,B10,Tasks!E:E,"Done")=0, "Todo", "Partial"))</f>
        <v/>
      </c>
      <c r="H10"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1" ht="148.1" customHeight="1" s="6">
      <c r="A11" s="5" t="inlineStr">
        <is>
          <t>Reporting &amp; Analytics</t>
        </is>
      </c>
      <c r="B11" s="5" t="inlineStr">
        <is>
          <t>Custom report builder</t>
        </is>
      </c>
      <c r="C11" s="8" t="inlineStr">
        <is>
          <t>As a project manager, I want to create custom reports by selecting data fields, filters and chart types so that I can answer specific questions without developer help.</t>
        </is>
      </c>
      <c r="D11" s="5">
        <f>COUNTIFS(User_Stories!A:A, A11, User_Stories!B:B, B11)</f>
        <v/>
      </c>
      <c r="E11" s="5">
        <f>COUNTIFS(Tasks!A:A, A11, Tasks!B:B, B11)</f>
        <v/>
      </c>
      <c r="F11" s="5">
        <f>SUMIFS(Tasks!F:F, Tasks!A:A, A11, Tasks!B:B, B11)</f>
        <v/>
      </c>
      <c r="G11" s="5">
        <f>IF(COUNTIFS(Tasks!A:A,A11,Tasks!B:B,B11,Tasks!E:E,"Done")=COUNTIFS(Tasks!A:A,A11,Tasks!B:B,B11), "Done", IF(COUNTIFS(Tasks!A:A,A11,Tasks!B:B,B11,Tasks!E:E,"Done")=0, "Todo", "Partial"))</f>
        <v/>
      </c>
      <c r="H11"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2" ht="148.1" customHeight="1" s="6">
      <c r="A12" s="5" t="inlineStr">
        <is>
          <t>Portfolio &amp; Program Management</t>
        </is>
      </c>
      <c r="B12" s="5" t="inlineStr">
        <is>
          <t>Portfolio and program entities</t>
        </is>
      </c>
      <c r="C12" s="8" t="inlineStr">
        <is>
          <t>As a portfolio manager, I want to group projects into portfolios and programs so that I can manage related initiatives collectively.</t>
        </is>
      </c>
      <c r="D12" s="5">
        <f>COUNTIFS(User_Stories!A:A, A12, User_Stories!B:B, B12)</f>
        <v/>
      </c>
      <c r="E12" s="5">
        <f>COUNTIFS(Tasks!A:A, A12, Tasks!B:B, B12)</f>
        <v/>
      </c>
      <c r="F12" s="5">
        <f>SUMIFS(Tasks!F:F, Tasks!A:A, A12, Tasks!B:B, B12)</f>
        <v/>
      </c>
      <c r="G12" s="5">
        <f>IF(COUNTIFS(Tasks!A:A,A12,Tasks!B:B,B12,Tasks!E:E,"Done")=COUNTIFS(Tasks!A:A,A12,Tasks!B:B,B12), "Done", IF(COUNTIFS(Tasks!A:A,A12,Tasks!B:B,B12,Tasks!E:E,"Done")=0, "Todo", "Partial"))</f>
        <v/>
      </c>
      <c r="H12"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row>
    <row r="13" ht="148.1" customHeight="1" s="6">
      <c r="A13" s="5" t="inlineStr">
        <is>
          <t>Portfolio &amp; Program Management</t>
        </is>
      </c>
      <c r="B13" s="5" t="inlineStr">
        <is>
          <t>Portfolio dashboards and dependency management</t>
        </is>
      </c>
      <c r="C13" s="8" t="inlineStr">
        <is>
          <t>As a portfolio manager, I want a dashboard summarising project status, budget consumption, risks and schedule across the portfolio so that I can quickly assess health.
As a program manager, I want to record dependencies between projects and view a timeline of milestones so that I can coordinate schedules and avoid delays.</t>
        </is>
      </c>
      <c r="D13" s="5">
        <f>COUNTIFS(User_Stories!A:A, A13, User_Stories!B:B, B13)</f>
        <v/>
      </c>
      <c r="E13" s="5">
        <f>COUNTIFS(Tasks!A:A, A13, Tasks!B:B, B13)</f>
        <v/>
      </c>
      <c r="F13" s="5">
        <f>SUMIFS(Tasks!F:F, Tasks!A:A, A13, Tasks!B:B, B13)</f>
        <v/>
      </c>
      <c r="G13" s="5">
        <f>IF(COUNTIFS(Tasks!A:A,A13,Tasks!B:B,B13,Tasks!E:E,"Done")=COUNTIFS(Tasks!A:A,A13,Tasks!B:B,B13), "Done", IF(COUNTIFS(Tasks!A:A,A13,Tasks!B:B,B13,Tasks!E:E,"Done")=0, "Todo", "Partial"))</f>
        <v/>
      </c>
      <c r="H13"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row>
    <row r="14" ht="133.45" customHeight="1" s="6">
      <c r="A14" s="5" t="inlineStr">
        <is>
          <t>Idea &amp; Backlog Management</t>
        </is>
      </c>
      <c r="B14" s="5" t="inlineStr">
        <is>
          <t>Idea capture &amp; voting</t>
        </is>
      </c>
      <c r="C14" s="8" t="inlineStr">
        <is>
          <t>As a product owner, I want stakeholders to submit feature ideas and vote on them so that we can identify high‑value features.</t>
        </is>
      </c>
      <c r="D14" s="5">
        <f>COUNTIFS(User_Stories!A:A, A14, User_Stories!B:B, B14)</f>
        <v/>
      </c>
      <c r="E14" s="5">
        <f>COUNTIFS(Tasks!A:A, A14, Tasks!B:B, B14)</f>
        <v/>
      </c>
      <c r="F14" s="5">
        <f>SUMIFS(Tasks!F:F, Tasks!A:A, A14, Tasks!B:B, B14)</f>
        <v/>
      </c>
      <c r="G14" s="5">
        <f>IF(COUNTIFS(Tasks!A:A,A14,Tasks!B:B,B14,Tasks!E:E,"Done")=COUNTIFS(Tasks!A:A,A14,Tasks!B:B,B14), "Done", IF(COUNTIFS(Tasks!A:A,A14,Tasks!B:B,B14,Tasks!E:E,"Done")=0, "Todo", "Partial"))</f>
        <v/>
      </c>
      <c r="H14" s="9" t="inlineStr">
        <is>
          <t xml:space="preserve">Value: Facilitates innovation by capturing stakeholder ideas and ensures backlog items are prioritised based on votes and strategic value.
Implementation risks: Risk of duplicate or low‑value ideas cluttering the backlog; requires clear policies for triaging and prioritising.
Competitor examples: • Trello and Monday.com support idea submission and voting to surface high‑value features.
</t>
        </is>
      </c>
    </row>
    <row r="15" ht="133.45" customHeight="1" s="6">
      <c r="A15" s="5" t="inlineStr">
        <is>
          <t>Idea &amp; Backlog Management</t>
        </is>
      </c>
      <c r="B15" s="5" t="inlineStr">
        <is>
          <t>Backlog management board</t>
        </is>
      </c>
      <c r="C15" s="8" t="inlineStr">
        <is>
          <t>As a product owner, I want to maintain a backlog of features and user stories with prioritisation, so that we can plan upcoming sprints.</t>
        </is>
      </c>
      <c r="D15" s="5">
        <f>COUNTIFS(User_Stories!A:A, A15, User_Stories!B:B, B15)</f>
        <v/>
      </c>
      <c r="E15" s="5">
        <f>COUNTIFS(Tasks!A:A, A15, Tasks!B:B, B15)</f>
        <v/>
      </c>
      <c r="F15" s="5">
        <f>SUMIFS(Tasks!F:F, Tasks!A:A, A15, Tasks!B:B, B15)</f>
        <v/>
      </c>
      <c r="G15" s="5">
        <f>IF(COUNTIFS(Tasks!A:A,A15,Tasks!B:B,B15,Tasks!E:E,"Done")=COUNTIFS(Tasks!A:A,A15,Tasks!B:B,B15), "Done", IF(COUNTIFS(Tasks!A:A,A15,Tasks!B:B,B15,Tasks!E:E,"Done")=0, "Todo", "Partial"))</f>
        <v/>
      </c>
      <c r="H15" s="9" t="inlineStr">
        <is>
          <t xml:space="preserve">Value: Facilitates innovation by capturing stakeholder ideas and ensures backlog items are prioritised based on votes and strategic value.
Implementation risks: Risk of duplicate or low‑value ideas cluttering the backlog; requires clear policies for triaging and prioritising.
Competitor examples: • Trello and Monday.com support idea submission and voting to surface high‑value features.
</t>
        </is>
      </c>
    </row>
    <row r="16" ht="133.45" customHeight="1" s="6">
      <c r="A16" s="5" t="inlineStr">
        <is>
          <t>Issue &amp; Bug Tracking</t>
        </is>
      </c>
      <c r="B16" s="5" t="inlineStr">
        <is>
          <t>Issue and bug entities</t>
        </is>
      </c>
      <c r="C16" s="8" t="inlineStr">
        <is>
          <t>As a developer, I want to record issues/bugs with severity, priority and reproduction steps so that the team can track and resolve defects.</t>
        </is>
      </c>
      <c r="D16" s="5">
        <f>COUNTIFS(User_Stories!A:A, A16, User_Stories!B:B, B16)</f>
        <v/>
      </c>
      <c r="E16" s="5">
        <f>COUNTIFS(Tasks!A:A, A16, Tasks!B:B, B16)</f>
        <v/>
      </c>
      <c r="F16" s="5">
        <f>SUMIFS(Tasks!F:F, Tasks!A:A, A16, Tasks!B:B, B16)</f>
        <v/>
      </c>
      <c r="G16" s="5">
        <f>IF(COUNTIFS(Tasks!A:A,A16,Tasks!B:B,B16,Tasks!E:E,"Done")=COUNTIFS(Tasks!A:A,A16,Tasks!B:B,B16), "Done", IF(COUNTIFS(Tasks!A:A,A16,Tasks!B:B,B16,Tasks!E:E,"Done")=0, "Todo", "Partial"))</f>
        <v/>
      </c>
      <c r="H16" s="9" t="inlineStr">
        <is>
          <t xml:space="preserve">Value: Improves software quality by tracking defects and issues separately from tasks, enabling dedicated workflows for triage and resolution.
Implementation risks: Requires disciplined classification and prioritisation; duplicates and backlogs can grow quickly without proper triage.
Competitor examples: • Jira’s issue tracking system is widely used
• ProjeQtOr also includes bug tracking capabilities.
</t>
        </is>
      </c>
    </row>
    <row r="17" ht="133.45" customHeight="1" s="6">
      <c r="A17" s="5" t="inlineStr">
        <is>
          <t>Issue &amp; Bug Tracking</t>
        </is>
      </c>
      <c r="B17" s="5" t="inlineStr">
        <is>
          <t>Issue triage and severity matrix</t>
        </is>
      </c>
      <c r="C17" s="8" t="inlineStr">
        <is>
          <t>As a product owner, I want to visualise issues based on severity and urgency so that I can prioritise resolution efforts.</t>
        </is>
      </c>
      <c r="D17" s="5">
        <f>COUNTIFS(User_Stories!A:A, A17, User_Stories!B:B, B17)</f>
        <v/>
      </c>
      <c r="E17" s="5">
        <f>COUNTIFS(Tasks!A:A, A17, Tasks!B:B, B17)</f>
        <v/>
      </c>
      <c r="F17" s="5">
        <f>SUMIFS(Tasks!F:F, Tasks!A:A, A17, Tasks!B:B, B17)</f>
        <v/>
      </c>
      <c r="G17" s="5">
        <f>IF(COUNTIFS(Tasks!A:A,A17,Tasks!B:B,B17,Tasks!E:E,"Done")=COUNTIFS(Tasks!A:A,A17,Tasks!B:B,B17), "Done", IF(COUNTIFS(Tasks!A:A,A17,Tasks!B:B,B17,Tasks!E:E,"Done")=0, "Todo", "Partial"))</f>
        <v/>
      </c>
      <c r="H17" s="9" t="inlineStr">
        <is>
          <t xml:space="preserve">Value: Improves software quality by tracking defects and issues separately from tasks, enabling dedicated workflows for triage and resolution.
Implementation risks: Requires disciplined classification and prioritisation; duplicates and backlogs can grow quickly without proper triage.
Competitor examples: • Jira’s issue tracking system is widely used
• ProjeQtOr also includes bug tracking capabilities.
</t>
        </is>
      </c>
    </row>
    <row r="18" ht="133.45" customHeight="1" s="6">
      <c r="A18" s="5" t="inlineStr">
        <is>
          <t>Calendar &amp; Scheduling Integration</t>
        </is>
      </c>
      <c r="B18" s="5" t="inlineStr">
        <is>
          <t>Calendar view</t>
        </is>
      </c>
      <c r="C18" s="8" t="inlineStr">
        <is>
          <t>As a user, I want to see all my upcoming meetings, sprint start/end dates and activity due dates in a calendar view so that I can plan my work.</t>
        </is>
      </c>
      <c r="D18" s="5">
        <f>COUNTIFS(User_Stories!A:A, A18, User_Stories!B:B, B18)</f>
        <v/>
      </c>
      <c r="E18" s="5">
        <f>COUNTIFS(Tasks!A:A, A18, Tasks!B:B, B18)</f>
        <v/>
      </c>
      <c r="F18" s="5">
        <f>SUMIFS(Tasks!F:F, Tasks!A:A, A18, Tasks!B:B, B18)</f>
        <v/>
      </c>
      <c r="G18" s="5">
        <f>IF(COUNTIFS(Tasks!A:A,A18,Tasks!B:B,B18,Tasks!E:E,"Done")=COUNTIFS(Tasks!A:A,A18,Tasks!B:B,B18), "Done", IF(COUNTIFS(Tasks!A:A,A18,Tasks!B:B,B18,Tasks!E:E,"Done")=0, "Todo", "Partial"))</f>
        <v/>
      </c>
      <c r="H18" s="9" t="inlineStr">
        <is>
          <t xml:space="preserve">Value: Provides a unified view of sprints, meetings and task deadlines, reducing scheduling conflicts and improving team coordination.
Implementation risks: Time‑zone handling, integration with external calendars and rescheduling conflicts can be challenging.
Competitor examples: • Monday.com integrates with Google Calendar and Outlook
• Jira offers timeline and calendar views through add‑ons.
</t>
        </is>
      </c>
    </row>
    <row r="19" ht="133.45" customHeight="1" s="6">
      <c r="A19" s="5" t="inlineStr">
        <is>
          <t>Calendar &amp; Scheduling Integration</t>
        </is>
      </c>
      <c r="B19" s="5" t="inlineStr">
        <is>
          <t>Scheduling assistant</t>
        </is>
      </c>
      <c r="C19" s="8" t="inlineStr">
        <is>
          <t>As a user, I want the system to suggest meeting times based on participant availability and existing bookings so that scheduling is easier.</t>
        </is>
      </c>
      <c r="D19" s="5">
        <f>COUNTIFS(User_Stories!A:A, A19, User_Stories!B:B, B19)</f>
        <v/>
      </c>
      <c r="E19" s="5">
        <f>COUNTIFS(Tasks!A:A, A19, Tasks!B:B, B19)</f>
        <v/>
      </c>
      <c r="F19" s="5">
        <f>SUMIFS(Tasks!F:F, Tasks!A:A, A19, Tasks!B:B, B19)</f>
        <v/>
      </c>
      <c r="G19" s="5">
        <f>IF(COUNTIFS(Tasks!A:A,A19,Tasks!B:B,B19,Tasks!E:E,"Done")=COUNTIFS(Tasks!A:A,A19,Tasks!B:B,B19), "Done", IF(COUNTIFS(Tasks!A:A,A19,Tasks!B:B,B19,Tasks!E:E,"Done")=0, "Todo", "Partial"))</f>
        <v/>
      </c>
      <c r="H19" s="9" t="inlineStr">
        <is>
          <t xml:space="preserve">Value: Provides a unified view of sprints, meetings and task deadlines, reducing scheduling conflicts and improving team coordination.
Implementation risks: Time‑zone handling, integration with external calendars and rescheduling conflicts can be challenging.
Competitor examples: • Monday.com integrates with Google Calendar and Outlook
• Jira offers timeline and calendar views through add‑ons.
</t>
        </is>
      </c>
    </row>
    <row r="20" ht="177.4" customHeight="1" s="6">
      <c r="A20" s="5" t="inlineStr">
        <is>
          <t>Permissions &amp; Role Management UI</t>
        </is>
      </c>
      <c r="B20" s="5" t="inlineStr">
        <is>
          <t>Role &amp; permission administration</t>
        </is>
      </c>
      <c r="C20" s="8" t="inlineStr">
        <is>
          <t>As a system administrator, I want to create roles and assign permissions to them so that I can tailor access controls to my organisation’s needs.</t>
        </is>
      </c>
      <c r="D20" s="5">
        <f>COUNTIFS(User_Stories!A:A, A20, User_Stories!B:B, B20)</f>
        <v/>
      </c>
      <c r="E20" s="5">
        <f>COUNTIFS(Tasks!A:A, A20, Tasks!B:B, B20)</f>
        <v/>
      </c>
      <c r="F20" s="5">
        <f>SUMIFS(Tasks!F:F, Tasks!A:A, A20, Tasks!B:B, B20)</f>
        <v/>
      </c>
      <c r="G20" s="5">
        <f>IF(COUNTIFS(Tasks!A:A,A20,Tasks!B:B,B20,Tasks!E:E,"Done")=COUNTIFS(Tasks!A:A,A20,Tasks!B:B,B20), "Done", IF(COUNTIFS(Tasks!A:A,A20,Tasks!B:B,B20,Tasks!E:E,"Done")=0, "Todo", "Partial"))</f>
        <v/>
      </c>
      <c r="H20" s="9" t="inlineStr">
        <is>
          <t xml:space="preserve">Value: Empowers administrators to assign granular permissions and roles, ensuring security and compliance while reducing administrative overhead.
Implementation risks: Complexity in designing flexible yet intuitive permission structures; risk of misconfiguration leading to access issues.
Competitor examples: • Jira provides permission schemes and role management
• many enterprise tools include dedicated role administration UIs.
</t>
        </is>
      </c>
    </row>
    <row r="21" ht="133.45" customHeight="1" s="6">
      <c r="A21" s="5" t="inlineStr">
        <is>
          <t>Client Portal &amp; Stakeholder Collaboration</t>
        </is>
      </c>
      <c r="B21" s="5" t="inlineStr">
        <is>
          <t>Client accounts &amp; permissions</t>
        </is>
      </c>
      <c r="C21" s="8" t="inlineStr">
        <is>
          <t>As an account manager, I want to create client accounts with limited permissions so that clients can access project status and raise issues.</t>
        </is>
      </c>
      <c r="D21" s="5">
        <f>COUNTIFS(User_Stories!A:A, A21, User_Stories!B:B, B21)</f>
        <v/>
      </c>
      <c r="E21" s="5">
        <f>COUNTIFS(Tasks!A:A, A21, Tasks!B:B, B21)</f>
        <v/>
      </c>
      <c r="F21" s="5">
        <f>SUMIFS(Tasks!F:F, Tasks!A:A, A21, Tasks!B:B, B21)</f>
        <v/>
      </c>
      <c r="G21" s="5">
        <f>IF(COUNTIFS(Tasks!A:A,A21,Tasks!B:B,B21,Tasks!E:E,"Done")=COUNTIFS(Tasks!A:A,A21,Tasks!B:B,B21), "Done", IF(COUNTIFS(Tasks!A:A,A21,Tasks!B:B,B21,Tasks!E:E,"Done")=0, "Todo", "Partial"))</f>
        <v/>
      </c>
      <c r="H21" s="9" t="inlineStr">
        <is>
          <t xml:space="preserve">Value: Strengthens client relationships by providing transparent access to project progress, deliverables and feedback channels.
Implementation risks: Ensuring that clients access only relevant data; adapting the UI to different client needs and maintaining security.
Competitor examples: • Products like Basecamp offer client access
• ProjeQtOr allows external stakeholders to view project information.
</t>
        </is>
      </c>
    </row>
    <row r="22" ht="133.45" customHeight="1" s="6">
      <c r="A22" s="5" t="inlineStr">
        <is>
          <t>Client Portal &amp; Stakeholder Collaboration</t>
        </is>
      </c>
      <c r="B22" s="5" t="inlineStr">
        <is>
          <t>Collaborative feedback and approvals</t>
        </is>
      </c>
      <c r="C22" s="8" t="inlineStr">
        <is>
          <t>As a product owner, I want clients to provide feedback and approve deliverables through the portal so that we have documented sign‑offs.</t>
        </is>
      </c>
      <c r="D22" s="5">
        <f>COUNTIFS(User_Stories!A:A, A22, User_Stories!B:B, B22)</f>
        <v/>
      </c>
      <c r="E22" s="5">
        <f>COUNTIFS(Tasks!A:A, A22, Tasks!B:B, B22)</f>
        <v/>
      </c>
      <c r="F22" s="5">
        <f>SUMIFS(Tasks!F:F, Tasks!A:A, A22, Tasks!B:B, B22)</f>
        <v/>
      </c>
      <c r="G22" s="5">
        <f>IF(COUNTIFS(Tasks!A:A,A22,Tasks!B:B,B22,Tasks!E:E,"Done")=COUNTIFS(Tasks!A:A,A22,Tasks!B:B,B22), "Done", IF(COUNTIFS(Tasks!A:A,A22,Tasks!B:B,B22,Tasks!E:E,"Done")=0, "Todo", "Partial"))</f>
        <v/>
      </c>
      <c r="H22" s="9" t="inlineStr">
        <is>
          <t xml:space="preserve">Value: Strengthens client relationships by providing transparent access to project progress, deliverables and feedback channels.
Implementation risks: Ensuring that clients access only relevant data; adapting the UI to different client needs and maintaining security.
Competitor examples: • Products like Basecamp offer client access
• ProjeQtOr allows external stakeholders to view project information.
</t>
        </is>
      </c>
    </row>
    <row r="23" ht="118.75" customHeight="1" s="6">
      <c r="A23" s="5" t="inlineStr">
        <is>
          <t>AI &amp; Automation</t>
        </is>
      </c>
      <c r="B23" s="5" t="inlineStr">
        <is>
          <t>Intelligent recommendations</t>
        </is>
      </c>
      <c r="C23" s="8" t="inlineStr">
        <is>
          <t>As a product owner, I want the system to suggest priorities for backlog items based on historical velocity, story complexity and business impact so that I can make informed decisions.</t>
        </is>
      </c>
      <c r="D23" s="5">
        <f>COUNTIFS(User_Stories!A:A, A23, User_Stories!B:B, B23)</f>
        <v/>
      </c>
      <c r="E23" s="5">
        <f>COUNTIFS(Tasks!A:A, A23, Tasks!B:B, B23)</f>
        <v/>
      </c>
      <c r="F23" s="5">
        <f>SUMIFS(Tasks!F:F, Tasks!A:A, A23, Tasks!B:B, B23)</f>
        <v/>
      </c>
      <c r="G23" s="5">
        <f>IF(COUNTIFS(Tasks!A:A,A23,Tasks!B:B,B23,Tasks!E:E,"Done")=COUNTIFS(Tasks!A:A,A23,Tasks!B:B,B23), "Done", IF(COUNTIFS(Tasks!A:A,A23,Tasks!B:B,B23,Tasks!E:E,"Done")=0, "Todo", "Partial"))</f>
        <v/>
      </c>
      <c r="H23"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24" ht="118.75" customHeight="1" s="6">
      <c r="A24" s="5" t="inlineStr">
        <is>
          <t>AI &amp; Automation</t>
        </is>
      </c>
      <c r="B24" s="5" t="inlineStr">
        <is>
          <t>Natural language summaries and insights</t>
        </is>
      </c>
      <c r="C24" s="8" t="inlineStr">
        <is>
          <t>As a team member, I want AI to summarise meeting minutes and comment threads so that I can quickly understand key points.</t>
        </is>
      </c>
      <c r="D24" s="5">
        <f>COUNTIFS(User_Stories!A:A, A24, User_Stories!B:B, B24)</f>
        <v/>
      </c>
      <c r="E24" s="5">
        <f>COUNTIFS(Tasks!A:A, A24, Tasks!B:B, B24)</f>
        <v/>
      </c>
      <c r="F24" s="5">
        <f>SUMIFS(Tasks!F:F, Tasks!A:A, A24, Tasks!B:B, B24)</f>
        <v/>
      </c>
      <c r="G24" s="5">
        <f>IF(COUNTIFS(Tasks!A:A,A24,Tasks!B:B,B24,Tasks!E:E,"Done")=COUNTIFS(Tasks!A:A,A24,Tasks!B:B,B24), "Done", IF(COUNTIFS(Tasks!A:A,A24,Tasks!B:B,B24,Tasks!E:E,"Done")=0, "Todo", "Partial"))</f>
        <v/>
      </c>
      <c r="H24"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25" ht="118.75" customHeight="1" s="6">
      <c r="A25" s="5" t="inlineStr">
        <is>
          <t>AI &amp; Automation</t>
        </is>
      </c>
      <c r="B25" s="5" t="inlineStr">
        <is>
          <t>Predictive analytics</t>
        </is>
      </c>
      <c r="C25" s="8" t="inlineStr">
        <is>
          <t>As a project manager, I want the system to forecast project completion date and highlight activities at risk of delay so that I can proactively mitigate issues.</t>
        </is>
      </c>
      <c r="D25" s="5">
        <f>COUNTIFS(User_Stories!A:A, A25, User_Stories!B:B, B25)</f>
        <v/>
      </c>
      <c r="E25" s="5">
        <f>COUNTIFS(Tasks!A:A, A25, Tasks!B:B, B25)</f>
        <v/>
      </c>
      <c r="F25" s="5">
        <f>SUMIFS(Tasks!F:F, Tasks!A:A, A25, Tasks!B:B, B25)</f>
        <v/>
      </c>
      <c r="G25" s="5">
        <f>IF(COUNTIFS(Tasks!A:A,A25,Tasks!B:B,B25,Tasks!E:E,"Done")=COUNTIFS(Tasks!A:A,A25,Tasks!B:B,B25), "Done", IF(COUNTIFS(Tasks!A:A,A25,Tasks!B:B,B25,Tasks!E:E,"Done")=0, "Todo", "Partial"))</f>
        <v/>
      </c>
      <c r="H25"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26" ht="148.1" customHeight="1" s="6">
      <c r="A26" s="5" t="inlineStr">
        <is>
          <t>Notifications &amp; Integrations</t>
        </is>
      </c>
      <c r="B26" s="5" t="inlineStr">
        <is>
          <t>In‑app and email notifications</t>
        </is>
      </c>
      <c r="C26" s="8" t="inlineStr">
        <is>
          <t>As a user, I want to be notified when events occur (task assigned, comment added, issue status changed) so that I stay informed.</t>
        </is>
      </c>
      <c r="D26" s="5">
        <f>COUNTIFS(User_Stories!A:A, A26, User_Stories!B:B, B26)</f>
        <v/>
      </c>
      <c r="E26" s="5">
        <f>COUNTIFS(Tasks!A:A, A26, Tasks!B:B, B26)</f>
        <v/>
      </c>
      <c r="F26" s="5">
        <f>SUMIFS(Tasks!F:F, Tasks!A:A, A26, Tasks!B:B, B26)</f>
        <v/>
      </c>
      <c r="G26" s="5">
        <f>IF(COUNTIFS(Tasks!A:A,A26,Tasks!B:B,B26,Tasks!E:E,"Done")=COUNTIFS(Tasks!A:A,A26,Tasks!B:B,B26), "Done", IF(COUNTIFS(Tasks!A:A,A26,Tasks!B:B,B26,Tasks!E:E,"Done")=0, "Todo", "Partial"))</f>
        <v/>
      </c>
      <c r="H26" s="9" t="inlineStr">
        <is>
          <t xml:space="preserve">Value: Keeps team members informed of updates through multiple channels (in‑app, email, Slack), fostering collaboration and awareness.
Implementation risks: Notification fatigue and integration failures can reduce effectiveness; requires careful design of preferences and throttling.
Competitor examples: • Monday.com supports Slack notifications and email alerts
• Jira integrates with many third‑party messaging tools.
</t>
        </is>
      </c>
    </row>
    <row r="27" ht="148.1" customHeight="1" s="6">
      <c r="A27" s="5" t="inlineStr">
        <is>
          <t>Notifications &amp; Integrations</t>
        </is>
      </c>
      <c r="B27" s="5" t="inlineStr">
        <is>
          <t>External integrations (email, Slack, Git)**</t>
        </is>
      </c>
      <c r="C27" s="8" t="inlineStr">
        <is>
          <t>As a team, I want Derbent to send notifications to a Slack channel for project updates so that everyone stays informed.</t>
        </is>
      </c>
      <c r="D27" s="5">
        <f>COUNTIFS(User_Stories!A:A, A27, User_Stories!B:B, B27)</f>
        <v/>
      </c>
      <c r="E27" s="5">
        <f>COUNTIFS(Tasks!A:A, A27, Tasks!B:B, B27)</f>
        <v/>
      </c>
      <c r="F27" s="5">
        <f>SUMIFS(Tasks!F:F, Tasks!A:A, A27, Tasks!B:B, B27)</f>
        <v/>
      </c>
      <c r="G27" s="5">
        <f>IF(COUNTIFS(Tasks!A:A,A27,Tasks!B:B,B27,Tasks!E:E,"Done")=COUNTIFS(Tasks!A:A,A27,Tasks!B:B,B27), "Done", IF(COUNTIFS(Tasks!A:A,A27,Tasks!B:B,B27,Tasks!E:E,"Done")=0, "Todo", "Partial"))</f>
        <v/>
      </c>
      <c r="H27" s="9" t="inlineStr">
        <is>
          <t xml:space="preserve">Value: Keeps team members informed of updates through multiple channels (in‑app, email, Slack), fostering collaboration and awareness.
Implementation risks: Notification fatigue and integration failures can reduce effectiveness; requires careful design of preferences and throttling.
Competitor examples: • Monday.com supports Slack notifications and email alerts
• Jira integrates with many third‑party messaging tools.
</t>
        </is>
      </c>
    </row>
    <row r="28" ht="118.75" customHeight="1" s="6">
      <c r="A28" s="5" t="inlineStr">
        <is>
          <t>Quality Assurance &amp; Testing Automation</t>
        </is>
      </c>
      <c r="B28" s="5" t="inlineStr">
        <is>
          <t>End‑to‑end test suite</t>
        </is>
      </c>
      <c r="C28" s="8" t="inlineStr">
        <is>
          <t>As a quality engineer, I want automated end‑to‑end tests covering core user flows so that regressions are detected early.</t>
        </is>
      </c>
      <c r="D28" s="5">
        <f>COUNTIFS(User_Stories!A:A, A28, User_Stories!B:B, B28)</f>
        <v/>
      </c>
      <c r="E28" s="5">
        <f>COUNTIFS(Tasks!A:A, A28, Tasks!B:B, B28)</f>
        <v/>
      </c>
      <c r="F28" s="5">
        <f>SUMIFS(Tasks!F:F, Tasks!A:A, A28, Tasks!B:B, B28)</f>
        <v/>
      </c>
      <c r="G28" s="5">
        <f>IF(COUNTIFS(Tasks!A:A,A28,Tasks!B:B,B28,Tasks!E:E,"Done")=COUNTIFS(Tasks!A:A,A28,Tasks!B:B,B28), "Done", IF(COUNTIFS(Tasks!A:A,A28,Tasks!B:B,B28,Tasks!E:E,"Done")=0, "Todo", "Partial"))</f>
        <v/>
      </c>
      <c r="H28" s="9" t="inlineStr">
        <is>
          <t xml:space="preserve">Value: Ensures consistent software quality by automating tests and static analysis, reducing defects and speeding up releases.
Implementation risks: Test flakiness and maintenance overhead; balancing test coverage against build times.
Competitor examples: • Many teams integrate tools like Selenium, Playwright or Cypress into CI pipelines alongside code quality tools (e.g., SonarQube).
</t>
        </is>
      </c>
    </row>
    <row r="29" ht="118.75" customHeight="1" s="6">
      <c r="A29" s="5" t="inlineStr">
        <is>
          <t>Quality Assurance &amp; Testing Automation</t>
        </is>
      </c>
      <c r="B29" s="5" t="inlineStr">
        <is>
          <t>Code quality and static analysis</t>
        </is>
      </c>
      <c r="C29" s="8" t="inlineStr">
        <is>
          <t>As a developer, I want automated checks for code style, complexity and security so that the codebase remains maintainable and secure.</t>
        </is>
      </c>
      <c r="D29" s="5">
        <f>COUNTIFS(User_Stories!A:A, A29, User_Stories!B:B, B29)</f>
        <v/>
      </c>
      <c r="E29" s="5">
        <f>COUNTIFS(Tasks!A:A, A29, Tasks!B:B, B29)</f>
        <v/>
      </c>
      <c r="F29" s="5">
        <f>SUMIFS(Tasks!F:F, Tasks!A:A, A29, Tasks!B:B, B29)</f>
        <v/>
      </c>
      <c r="G29" s="5">
        <f>IF(COUNTIFS(Tasks!A:A,A29,Tasks!B:B,B29,Tasks!E:E,"Done")=COUNTIFS(Tasks!A:A,A29,Tasks!B:B,B29), "Done", IF(COUNTIFS(Tasks!A:A,A29,Tasks!B:B,B29,Tasks!E:E,"Done")=0, "Todo", "Partial"))</f>
        <v/>
      </c>
      <c r="H29" s="9" t="inlineStr">
        <is>
          <t xml:space="preserve">Value: Ensures consistent software quality by automating tests and static analysis, reducing defects and speeding up releases.
Implementation risks: Test flakiness and maintenance overhead; balancing test coverage against build times.
Competitor examples: • Many teams integrate tools like Selenium, Playwright or Cypress into CI pipelines alongside code quality tools (e.g., SonarQube).
</t>
        </is>
      </c>
    </row>
    <row r="30" ht="133.45" customHeight="1" s="6">
      <c r="A30" s="5" t="inlineStr">
        <is>
          <t>Internationalisation (I18n) &amp; Accessibility</t>
        </is>
      </c>
      <c r="B30" s="5" t="inlineStr">
        <is>
          <t>Internationalisation</t>
        </is>
      </c>
      <c r="C30" s="8" t="inlineStr">
        <is>
          <t>As a user, I want to switch the UI language to my preferred language so that I can use Derbent in my native tongue.</t>
        </is>
      </c>
      <c r="D30" s="5">
        <f>COUNTIFS(User_Stories!A:A, A30, User_Stories!B:B, B30)</f>
        <v/>
      </c>
      <c r="E30" s="5">
        <f>COUNTIFS(Tasks!A:A, A30, Tasks!B:B, B30)</f>
        <v/>
      </c>
      <c r="F30" s="5">
        <f>SUMIFS(Tasks!F:F, Tasks!A:A, A30, Tasks!B:B, B30)</f>
        <v/>
      </c>
      <c r="G30" s="5">
        <f>IF(COUNTIFS(Tasks!A:A,A30,Tasks!B:B,B30,Tasks!E:E,"Done")=COUNTIFS(Tasks!A:A,A30,Tasks!B:B,B30), "Done", IF(COUNTIFS(Tasks!A:A,A30,Tasks!B:B,B30,Tasks!E:E,"Done")=0, "Todo", "Partial"))</f>
        <v/>
      </c>
      <c r="H30" s="9" t="inlineStr">
        <is>
          <t xml:space="preserve">Value: Extends Derbent’s reach globally and ensures usability for people with disabilities, aligning with legal and ethical standards.
Implementation risks: Translation management, design adaptation for different languages and implementing accessibility guidelines can be time‑consuming.
Competitor examples: • Jira and Monday.com support multiple languages and provide accessible themes
• compliance with WCAG 2.1 AA is a requirement in many regions.
</t>
        </is>
      </c>
    </row>
    <row r="31" ht="133.45" customHeight="1" s="6">
      <c r="A31" s="5" t="inlineStr">
        <is>
          <t>Internationalisation (I18n) &amp; Accessibility</t>
        </is>
      </c>
      <c r="B31" s="5" t="inlineStr">
        <is>
          <t>Accessibility (a11y)</t>
        </is>
      </c>
      <c r="C31" s="8" t="inlineStr">
        <is>
          <t>As a user with disabilities, I want Derbent to meet WCAG 2.1 AA standards so that I can use the application without barriers.</t>
        </is>
      </c>
      <c r="D31" s="5">
        <f>COUNTIFS(User_Stories!A:A, A31, User_Stories!B:B, B31)</f>
        <v/>
      </c>
      <c r="E31" s="5">
        <f>COUNTIFS(Tasks!A:A, A31, Tasks!B:B, B31)</f>
        <v/>
      </c>
      <c r="F31" s="5">
        <f>SUMIFS(Tasks!F:F, Tasks!A:A, A31, Tasks!B:B, B31)</f>
        <v/>
      </c>
      <c r="G31" s="5">
        <f>IF(COUNTIFS(Tasks!A:A,A31,Tasks!B:B,B31,Tasks!E:E,"Done")=COUNTIFS(Tasks!A:A,A31,Tasks!B:B,B31), "Done", IF(COUNTIFS(Tasks!A:A,A31,Tasks!B:B,B31,Tasks!E:E,"Done")=0, "Todo", "Partial"))</f>
        <v/>
      </c>
      <c r="H31" s="9" t="inlineStr">
        <is>
          <t xml:space="preserve">Value: Extends Derbent’s reach globally and ensures usability for people with disabilities, aligning with legal and ethical standards.
Implementation risks: Translation management, design adaptation for different languages and implementing accessibility guidelines can be time‑consuming.
Competitor examples: • Jira and Monday.com support multiple languages and provide accessible themes
• compliance with WCAG 2.1 AA is a requirement in many regions.
</t>
        </is>
      </c>
    </row>
    <row r="32"/>
    <row r="33"/>
    <row r="34"/>
    <row r="35"/>
    <row r="36"/>
    <row r="37"/>
    <row r="38"/>
    <row r="39"/>
    <row r="40"/>
    <row r="41"/>
    <row r="42"/>
    <row r="43"/>
    <row r="44"/>
    <row r="45"/>
    <row r="46"/>
    <row r="47"/>
    <row r="48"/>
    <row r="49"/>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6"/>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E2" activeCellId="0" sqref="E2"/>
    </sheetView>
  </sheetViews>
  <sheetFormatPr baseColWidth="8" defaultColWidth="10.16015625" defaultRowHeight="15" customHeight="1" zeroHeight="0" outlineLevelRow="0"/>
  <cols>
    <col width="46.75" customWidth="1" style="5" min="1" max="1"/>
    <col width="43.22" customWidth="1" style="5" min="2" max="2"/>
    <col width="38.63" customWidth="1" style="5" min="3" max="3"/>
    <col width="40.67" customWidth="1" style="5" min="4" max="4"/>
    <col width="7.9" customWidth="1" style="5" min="5" max="5"/>
    <col width="17.14" customWidth="1" style="5" min="6" max="6"/>
    <col width="17.67" customWidth="1" style="5" min="7" max="7"/>
    <col width="16.85" customWidth="1" style="5" min="8" max="8"/>
    <col width="52.27" customWidth="1" style="5" min="9" max="9"/>
    <col width="53.39" customWidth="1" style="5" min="10" max="10"/>
  </cols>
  <sheetData>
    <row r="1" ht="15" customHeight="1" s="6">
      <c r="A1" s="7" t="inlineStr">
        <is>
          <t>Epic</t>
        </is>
      </c>
      <c r="B1" s="7" t="inlineStr">
        <is>
          <t>Feature</t>
        </is>
      </c>
      <c r="C1" s="7" t="inlineStr">
        <is>
          <t>User Story</t>
        </is>
      </c>
      <c r="D1" s="7" t="inlineStr">
        <is>
          <t>Description</t>
        </is>
      </c>
      <c r="E1" s="7" t="inlineStr">
        <is>
          <t>Status</t>
        </is>
      </c>
      <c r="F1" s="7" t="inlineStr">
        <is>
          <t>User Story Points</t>
        </is>
      </c>
      <c r="G1" s="7" t="inlineStr">
        <is>
          <t>Total Story Points</t>
        </is>
      </c>
      <c r="H1" s="7" t="inlineStr">
        <is>
          <t>Number of Tasks</t>
        </is>
      </c>
      <c r="I1" s="7" t="inlineStr">
        <is>
          <t>Acceptance Criteria</t>
        </is>
      </c>
      <c r="J1" s="7" t="inlineStr">
        <is>
          <t>Managerial Details</t>
        </is>
      </c>
      <c r="K1" t="inlineStr">
        <is>
          <t>Implementation Notes</t>
        </is>
      </c>
    </row>
    <row r="2" ht="162.75" customHeight="1" s="6">
      <c r="A2" s="5" t="inlineStr">
        <is>
          <t>Financial Management – budgeting, incomes &amp; expenses</t>
        </is>
      </c>
      <c r="B2" s="5" t="inlineStr">
        <is>
          <t>Project budget and cost tracking</t>
        </is>
      </c>
      <c r="C2" s="5" t="inlineStr">
        <is>
          <t>Define project budget</t>
        </is>
      </c>
      <c r="D2" s="8" t="inlineStr">
        <is>
          <t>As a project manager, I want to set an overall budget and cost baseline for a project so that I can monitor how actual spending compares to planned costs.</t>
        </is>
      </c>
      <c r="E2" s="5">
        <f>IF(COUNTIFS(Tasks!A:A,A2,Tasks!B:B,B2,Tasks!C:C,C2,Tasks!E:E,"Done")=COUNTIFS(Tasks!A:A,A2,Tasks!B:B,B2,Tasks!C:C,C2), "Done", IF(COUNTIFS(Tasks!A:A,A2,Tasks!B:B,B2,Tasks!C:C,C2,Tasks!E:E,"Done")=0, "Todo", "Partial"))</f>
        <v/>
      </c>
      <c r="F2" s="5" t="n">
        <v>13</v>
      </c>
      <c r="G2" s="5">
        <f>SUMIFS(Tasks!F:F, Tasks!A:A, A2, Tasks!B:B, B2, Tasks!C:C, C2)</f>
        <v/>
      </c>
      <c r="H2" s="5">
        <f>COUNTIFS(Tasks!A:A, A2, Tasks!B:B, B2, Tasks!C:C, C2)</f>
        <v/>
      </c>
      <c r="I2" s="8" t="inlineStr">
        <is>
          <t>1. The **Project** entity (`CProject`) has new fields for `budgetAmount`, `budgetCurrency` and `budgetDescription`.  Users can enter these fields when creating or editing a project.
2. A financial summary view shows the project's budget versus actual expenses, with visual indicators when actual costs exceed the budget.
3. Access controls ensure only users with a “Project Manager” or “Finance” role may edit budgets.
4. Audit trail records changes to budget values.</t>
        </is>
      </c>
      <c r="J2"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3" ht="162.75" customHeight="1" s="6">
      <c r="A3" s="5" t="inlineStr">
        <is>
          <t>Financial Management – budgeting, incomes &amp; expenses</t>
        </is>
      </c>
      <c r="B3" s="5" t="inlineStr">
        <is>
          <t>Project budget and cost tracking</t>
        </is>
      </c>
      <c r="C3" s="5" t="inlineStr">
        <is>
          <t>Track estimated versus actual costs per activity</t>
        </is>
      </c>
      <c r="D3" s="8" t="inlineStr">
        <is>
          <t>As a project manager, I want to record estimated and actual costs for each activity so that I can compare variance and forecast project costs.</t>
        </is>
      </c>
      <c r="E3" s="5">
        <f>IF(COUNTIFS(Tasks!A:A,A3,Tasks!B:B,B3,Tasks!C:C,C3,Tasks!E:E,"Done")=COUNTIFS(Tasks!A:A,A3,Tasks!B:B,B3,Tasks!C:C,C3), "Done", IF(COUNTIFS(Tasks!A:A,A3,Tasks!B:B,B3,Tasks!C:C,C3,Tasks!E:E,"Done")=0, "Todo", "Partial"))</f>
        <v/>
      </c>
      <c r="F3" s="5" t="n">
        <v>14</v>
      </c>
      <c r="G3" s="5">
        <f>SUMIFS(Tasks!F:F, Tasks!A:A, A3, Tasks!B:B, B3, Tasks!C:C, C3)</f>
        <v/>
      </c>
      <c r="H3" s="5">
        <f>COUNTIFS(Tasks!A:A, A3, Tasks!B:B, B3, Tasks!C:C, C3)</f>
        <v/>
      </c>
      <c r="I3" s="8" t="inlineStr">
        <is>
          <t>1. The `CActivity` entity already includes fields for `estimatedCost`, `actualCost` and `hourlyRate`【477971868718673†L52-L150】.  A new field `costCurrency` should be added to support multiple currencies.
2. When an activity’s status changes to “Done”, its cost fields can be edited only by finance roles.
3. A cost variance field (`actualCost` – `estimatedCost`) is displayed in the activity view
negative variance is shown in green and positive variance in red.
4. The project financial summary aggregates costs by activity.</t>
        </is>
      </c>
      <c r="J3"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4" ht="162.75" customHeight="1" s="6">
      <c r="A4" s="5" t="inlineStr">
        <is>
          <t>Financial Management – budgeting, incomes &amp; expenses</t>
        </is>
      </c>
      <c r="B4" s="5" t="inlineStr">
        <is>
          <t>Incomes and expenses module</t>
        </is>
      </c>
      <c r="C4" s="5" t="inlineStr">
        <is>
          <t>Record project income and expenses</t>
        </is>
      </c>
      <c r="D4" s="8" t="inlineStr">
        <is>
          <t>As a finance officer, I want to log incomes (e.g., client payments) and expenses (e.g., hardware purchases) with amounts, dates and categories so that I can maintain project accounts.</t>
        </is>
      </c>
      <c r="E4" s="5">
        <f>IF(COUNTIFS(Tasks!A:A,A4,Tasks!B:B,B4,Tasks!C:C,C4,Tasks!E:E,"Done")=COUNTIFS(Tasks!A:A,A4,Tasks!B:B,B4,Tasks!C:C,C4), "Done", IF(COUNTIFS(Tasks!A:A,A4,Tasks!B:B,B4,Tasks!C:C,C4,Tasks!E:E,"Done")=0, "Todo", "Partial"))</f>
        <v/>
      </c>
      <c r="F4" s="5" t="n">
        <v>15</v>
      </c>
      <c r="G4" s="5">
        <f>SUMIFS(Tasks!F:F, Tasks!A:A, A4, Tasks!B:B, B4, Tasks!C:C, C4)</f>
        <v/>
      </c>
      <c r="H4" s="5">
        <f>COUNTIFS(Tasks!A:A, A4, Tasks!B:B, B4, Tasks!C:C, C4)</f>
        <v/>
      </c>
      <c r="I4" s="8" t="inlineStr">
        <is>
          <t>1. Entities `CProjectIncome` and `CProjectExpense` are extended to include fields: `amount` (decimal), `currency`, `date`, `category` (enum), `description` and a relation to `CProject`.
2. Users can create, edit and delete income/expense entries via a dedicated page.  Required fields must be validated
amounts must be positive.
3. Incomes and expenses are aggregated in the project financial summary with totals and difference (profit/loss).
4. Permissions restrict creation to finance roles.</t>
        </is>
      </c>
      <c r="J4"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5" ht="162.75" customHeight="1" s="6">
      <c r="A5" s="5" t="inlineStr">
        <is>
          <t>Financial Management – budgeting, incomes &amp; expenses</t>
        </is>
      </c>
      <c r="B5" s="5" t="inlineStr">
        <is>
          <t>Budget alerts &amp; approvals</t>
        </is>
      </c>
      <c r="C5" s="5" t="inlineStr">
        <is>
          <t>Receive alerts when expenses exceed budget</t>
        </is>
      </c>
      <c r="D5" s="8" t="inlineStr">
        <is>
          <t>As a project manager, I want to be notified when actual expenses exceed the budget so that I can take corrective actions.</t>
        </is>
      </c>
      <c r="E5" s="5">
        <f>IF(COUNTIFS(Tasks!A:A,A5,Tasks!B:B,B5,Tasks!C:C,C5,Tasks!E:E,"Done")=COUNTIFS(Tasks!A:A,A5,Tasks!B:B,B5,Tasks!C:C,C5), "Done", IF(COUNTIFS(Tasks!A:A,A5,Tasks!B:B,B5,Tasks!C:C,C5,Tasks!E:E,"Done")=0, "Todo", "Partial"))</f>
        <v/>
      </c>
      <c r="F5" s="5" t="n">
        <v>16</v>
      </c>
      <c r="G5" s="5">
        <f>SUMIFS(Tasks!F:F, Tasks!A:A, A5, Tasks!B:B, B5, Tasks!C:C, C5)</f>
        <v/>
      </c>
      <c r="H5" s="5">
        <f>COUNTIFS(Tasks!A:A, A5, Tasks!B:B, B5, Tasks!C:C, C5)</f>
        <v/>
      </c>
      <c r="I5" s="8" t="inlineStr">
        <is>
          <t>1. The system monitors budgets and sends notifications (email and in‑app) when expenses surpass a configurable threshold (e.g., 90 % of budget).
2. Alerts appear in the notification bell icon and are emailed to users with the “Project Manager” role.
3. Notification templates include project name, budget amount and actual expense amount.</t>
        </is>
      </c>
      <c r="J5" s="9" t="inlineStr">
        <is>
          <t xml:space="preserve">Value: Provides financial transparency by tracking budgets, incomes and expenses at project and activity level; aids cost control and profitability.
Implementation risks: Integration with accounting systems, handling multiple currencies, and ensuring up‑to‑date financial data.
Competitor examples: • ProjeQtOr includes a financial module with budgets and cost tracking
• many teams use Jira add‑ons or Monday.com for cost monitoring.
</t>
        </is>
      </c>
    </row>
    <row r="6" ht="149.2" customHeight="1" s="6">
      <c r="A6" s="5" t="inlineStr">
        <is>
          <t>Resource &amp; Timesheet Management</t>
        </is>
      </c>
      <c r="B6" s="5" t="inlineStr">
        <is>
          <t>Resource allocation &amp; capacity planning</t>
        </is>
      </c>
      <c r="C6" s="5" t="inlineStr">
        <is>
          <t>Manage resource profiles</t>
        </is>
      </c>
      <c r="D6" s="8" t="inlineStr">
        <is>
          <t>As a resource manager, I want to define resources (people or equipment) with skills, availability and cost rates so that I can plan project work accordingly.</t>
        </is>
      </c>
      <c r="E6" s="5">
        <f>IF(COUNTIFS(Tasks!A:A,A6,Tasks!B:B,B6,Tasks!C:C,C6,Tasks!E:E,"Done")=COUNTIFS(Tasks!A:A,A6,Tasks!B:B,B6,Tasks!C:C,C6), "Done", IF(COUNTIFS(Tasks!A:A,A6,Tasks!B:B,B6,Tasks!C:C,C6,Tasks!E:E,"Done")=0, "Todo", "Partial"))</f>
        <v/>
      </c>
      <c r="F6" s="5" t="n">
        <v>17</v>
      </c>
      <c r="G6" s="5">
        <f>SUMIFS(Tasks!F:F, Tasks!A:A, A6, Tasks!B:B, B6, Tasks!C:C, C6)</f>
        <v/>
      </c>
      <c r="H6" s="5">
        <f>COUNTIFS(Tasks!A:A, A6, Tasks!B:B, B6, Tasks!C:C, C6)</f>
        <v/>
      </c>
      <c r="I6" s="8" t="inlineStr">
        <is>
          <t>1. A new entity `CResource` extends `CEntityOfCompany` with fields: `resourceType` (person, equipment), `skills` (multi‑select), `defaultRate`, `capacityPerDay`, `availableFrom`, `availableTo`, `isActive`.
2. Resources can be assigned to projects with roles (developer, tester, designer, etc.) and date ranges.
3. Resource availability influences capacity calculations in sprints and activities.</t>
        </is>
      </c>
      <c r="J6"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row>
    <row r="7" ht="149.2" customHeight="1" s="6">
      <c r="A7" s="5" t="inlineStr">
        <is>
          <t>Resource &amp; Timesheet Management</t>
        </is>
      </c>
      <c r="B7" s="5" t="inlineStr">
        <is>
          <t>Resource allocation &amp; capacity planning</t>
        </is>
      </c>
      <c r="C7" s="5" t="inlineStr">
        <is>
          <t>Visualise sprint capacity and workload</t>
        </is>
      </c>
      <c r="D7" s="8" t="inlineStr">
        <is>
          <t>As a scrum master, I want to see the capacity of my team for each sprint and compare it to the estimated effort so that I can plan workload realistically.</t>
        </is>
      </c>
      <c r="E7" s="5">
        <f>IF(COUNTIFS(Tasks!A:A,A7,Tasks!B:B,B7,Tasks!C:C,C7,Tasks!E:E,"Done")=COUNTIFS(Tasks!A:A,A7,Tasks!B:B,B7,Tasks!C:C,C7), "Done", IF(COUNTIFS(Tasks!A:A,A7,Tasks!B:B,B7,Tasks!C:C,C7,Tasks!E:E,"Done")=0, "Todo", "Partial"))</f>
        <v/>
      </c>
      <c r="F7" s="5" t="n">
        <v>18</v>
      </c>
      <c r="G7" s="5">
        <f>SUMIFS(Tasks!F:F, Tasks!A:A, A7, Tasks!B:B, B7, Tasks!C:C, C7)</f>
        <v/>
      </c>
      <c r="H7" s="5">
        <f>COUNTIFS(Tasks!A:A, A7, Tasks!B:B, B7, Tasks!C:C, C7)</f>
        <v/>
      </c>
      <c r="I7" s="8" t="inlineStr">
        <is>
          <t>1. The sprint view displays a capacity chart showing available hours of assigned resources versus total estimated hours of assigned activities and story points.
2. Over‑allocation (when estimated hours &gt; capacity) is highlighted in red
under‑utilisation is shown in green.
3. Users can drill down to see which resources or activities contribute to the capacity usage.</t>
        </is>
      </c>
      <c r="J7"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row>
    <row r="8" ht="193.2" customHeight="1" s="6">
      <c r="A8" s="5" t="inlineStr">
        <is>
          <t>Resource &amp; Timesheet Management</t>
        </is>
      </c>
      <c r="B8" s="5" t="inlineStr">
        <is>
          <t>Timesheet &amp; time tracking</t>
        </is>
      </c>
      <c r="C8" s="5" t="inlineStr">
        <is>
          <t>Log time spent on activities</t>
        </is>
      </c>
      <c r="D8" s="8" t="inlineStr">
        <is>
          <t>As a team member, I want to record the time I spend on each activity daily so that the project manager can track progress and bill clients appropriately.</t>
        </is>
      </c>
      <c r="E8" s="5">
        <f>IF(COUNTIFS(Tasks!A:A,A8,Tasks!B:B,B8,Tasks!C:C,C8,Tasks!E:E,"Done")=COUNTIFS(Tasks!A:A,A8,Tasks!B:B,B8,Tasks!C:C,C8), "Done", IF(COUNTIFS(Tasks!A:A,A8,Tasks!B:B,B8,Tasks!C:C,C8,Tasks!E:E,"Done")=0, "Todo", "Partial"))</f>
        <v/>
      </c>
      <c r="F8" s="5" t="n">
        <v>19</v>
      </c>
      <c r="G8" s="5">
        <f>SUMIFS(Tasks!F:F, Tasks!A:A, A8, Tasks!B:B, B8, Tasks!C:C, C8)</f>
        <v/>
      </c>
      <c r="H8" s="5">
        <f>COUNTIFS(Tasks!A:A, A8, Tasks!B:B, B8, Tasks!C:C, C8)</f>
        <v/>
      </c>
      <c r="I8" s="8" t="inlineStr">
        <is>
          <t>1. A new entity `CTimesheetEntry` extends `CEntityOfProject` with fields: `user`, `activity`, `date`, `hoursSpent`, `description`, `billable` (boolean), `rate` and `cost` (auto‑calculated).  Each entry is linked to a sprint if applicable.
2. Users can enter timesheet entries via a calendar‑style form or table.  Entries are restricted to their own user accounts unless they have a manager role.
3. The system automatically calculates `cost` = `hoursSpent` × `rate` or uses the activity’s `hourlyRate` by default【477971868718673†L52-L150】.
4. Project managers can approve or reject submitted timesheet entries.
5. Timesheet data feeds into financial reports and invoicing.</t>
        </is>
      </c>
      <c r="J8" s="9" t="inlineStr">
        <is>
          <t xml:space="preserve">Value: Optimises allocation of staff and equipment, allowing managers to plan workload realistically and avoid overbooking.
Implementation risks: Scheduling algorithms can be complex; capturing accurate availability and ensuring team buy‑in for timesheet entry.
Competitor examples: • ProjeQtOr features a timesheet screen where resources enter actual work daily, automatically updating cost and progress【649909907018431†L8-L19】
• Monday.com provides resource utilisation views.
</t>
        </is>
      </c>
    </row>
    <row r="9" ht="177.4" customHeight="1" s="6">
      <c r="A9" s="5" t="inlineStr">
        <is>
          <t>Document &amp; Attachment Management</t>
        </is>
      </c>
      <c r="B9" s="5" t="inlineStr">
        <is>
          <t>File storage infrastructure</t>
        </is>
      </c>
      <c r="C9" s="5" t="inlineStr">
        <is>
          <t>Upload and download documents</t>
        </is>
      </c>
      <c r="D9" s="8" t="inlineStr">
        <is>
          <t>As any user, I want to attach files to projects, activities or risks so that all related documents are stored in one place.</t>
        </is>
      </c>
      <c r="E9" s="5">
        <f>IF(COUNTIFS(Tasks!A:A,A9,Tasks!B:B,B9,Tasks!C:C,C9,Tasks!E:E,"Done")=COUNTIFS(Tasks!A:A,A9,Tasks!B:B,B9,Tasks!C:C,C9), "Done", IF(COUNTIFS(Tasks!A:A,A9,Tasks!B:B,B9,Tasks!C:C,C9,Tasks!E:E,"Done")=0, "Todo", "Partial"))</f>
        <v/>
      </c>
      <c r="F9" s="5" t="n">
        <v>20</v>
      </c>
      <c r="G9" s="5">
        <f>SUMIFS(Tasks!F:F, Tasks!A:A, A9, Tasks!B:B, B9, Tasks!C:C, C9)</f>
        <v/>
      </c>
      <c r="H9" s="5">
        <f>COUNTIFS(Tasks!A:A, A9, Tasks!B:B, B9, Tasks!C:C, C9)</f>
        <v/>
      </c>
      <c r="I9" s="8" t="inlineStr">
        <is>
          <t>1. Users can upload files (PDF, DOCX, images, etc.) via a drag‑and‑drop or file picker interface.  Each file is associated with a parent entity (project, activity, risk, sprint or meeting) and stored with metadata: `fileName`, `fileSize`, `fileType`, `uploadDate`, `uploadedBy`.
2. Files are stored securely either in the database as BLOBs or in an object store (e.g., AWS S3) depending on configuration.  An abstraction layer hides storage implementation details.
3. Users can download attachments
permissions are inherited from the parent entity.
4. Attachment lists show a preview icon and download size
attachments can be removed by users with appropriate rights.</t>
        </is>
      </c>
      <c r="J9"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row>
    <row r="10" ht="148.1" customHeight="1" s="6">
      <c r="A10" s="5" t="inlineStr">
        <is>
          <t>Document &amp; Attachment Management</t>
        </is>
      </c>
      <c r="B10" s="5" t="inlineStr">
        <is>
          <t>Document preview &amp; versioning</t>
        </is>
      </c>
      <c r="C10" s="5" t="inlineStr">
        <is>
          <t>Preview common document types</t>
        </is>
      </c>
      <c r="D10" s="8" t="inlineStr">
        <is>
          <t>As a user, I want to preview uploaded documents (PDFs, images) directly in the browser so that I don’t need to download them to view content.</t>
        </is>
      </c>
      <c r="E10" s="11" t="inlineStr">
        <is>
          <t>Done</t>
        </is>
      </c>
      <c r="F10" s="5" t="n">
        <v>21</v>
      </c>
      <c r="G10" s="5">
        <f>SUMIFS(Tasks!F:F, Tasks!A:A, A10, Tasks!B:B, B10, Tasks!C:C, C10)</f>
        <v/>
      </c>
      <c r="H10" s="5">
        <f>COUNTIFS(Tasks!A:A, A10, Tasks!B:B, B10, Tasks!C:C, C10)</f>
        <v/>
      </c>
      <c r="I10" s="8" t="inlineStr">
        <is>
          <t>1. For supported file types (PDF, image, text), the system renders an inline preview using Vaadin components or integration with PDF.js.
2. Users can page through PDFs and zoom in/out
images can be enlarged and rotated.
3. Unsupported types display a generic file icon with a download link.</t>
        </is>
      </c>
      <c r="J10"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c r="K10" s="12" t="inlineStr">
        <is>
          <t>✅ IMPLEMENTED (2026-01-12):
- CAttachment entity (CEntityOfProject with version management)
- CAttachmentService (CRUD, file operations, validation)
- CDiskAttachmentStorage (disk-based storage: ./data/attachments/YYYY/MM/DD/uuid-filename)
- CDialogAttachmentUpload (drag-drop, document type, version number, description)
- CComponentListAttachments (grid with version, filename, size, type, upload date/by)
- CPageServiceAttachment + CAttachmentInitializerService (following CComment pattern)
- Integrated into CPageServiceActivity
- Document types: 10 default types via CDocumentTypeInitializerService
Commits: 4f349f8, efb8b62, f8c4be8, 3c0e914</t>
        </is>
      </c>
    </row>
    <row r="11" ht="148.1" customHeight="1" s="6">
      <c r="A11" s="5" t="inlineStr">
        <is>
          <t>Document &amp; Attachment Management</t>
        </is>
      </c>
      <c r="B11" s="5" t="inlineStr">
        <is>
          <t>Document preview &amp; versioning</t>
        </is>
      </c>
      <c r="C11" s="5" t="inlineStr">
        <is>
          <t>Maintain version history</t>
        </is>
      </c>
      <c r="D11" s="8" t="inlineStr">
        <is>
          <t>As a user, I want to upload new versions of a document and view previous versions so that I can track changes over time.</t>
        </is>
      </c>
      <c r="E11" s="10" t="inlineStr">
        <is>
          <t>In Progress</t>
        </is>
      </c>
      <c r="F11" s="5" t="n">
        <v>22</v>
      </c>
      <c r="G11" s="5">
        <f>SUMIFS(Tasks!F:F, Tasks!A:A, A11, Tasks!B:B, B11, Tasks!C:C, C11)</f>
        <v/>
      </c>
      <c r="H11" s="5">
        <f>COUNTIFS(Tasks!A:A, A11, Tasks!B:B, B11, Tasks!C:C, C11)</f>
        <v/>
      </c>
      <c r="I11" s="8" t="inlineStr">
        <is>
          <t>1. Each attachment has version numbers
uploading a file with the same name increments the version number and retains the old version as read‑only.
2. The attachment list displays the latest version by default and allows users to expand a history view to see previous versions (with upload date and author).
3. Permissions to delete older versions are restricted to administrators or the uploading user.</t>
        </is>
      </c>
      <c r="J11" s="9" t="inlineStr">
        <is>
          <t xml:space="preserve">Value: Centralises all project files with secure storage, version control and preview, improving collaboration and reducing context switching.
Implementation risks: Managing file sizes and storage costs, ensuring support for various formats and preventing unauthorised access.
Competitor examples: • Tools like Confluence and Monday.com allow attaching documents and previewing them directly in the browser.
</t>
        </is>
      </c>
      <c r="K11" s="12" t="inlineStr">
        <is>
          <t>⚠️ PARTIAL (2026-01-12):
✅ Version tracking implemented (versionNumber, previousVersion fields)
✅ Version display in grid
✅ Upload new version logic
❌ TODO: CAttachmentPreview component for PDF/image preview
❌ TODO: Version history modal with restore action
❌ TODO: Download previous versions UI</t>
        </is>
      </c>
    </row>
    <row r="12" ht="162.75" customHeight="1" s="6">
      <c r="A12" s="5" t="inlineStr">
        <is>
          <t>Reporting &amp; Analytics</t>
        </is>
      </c>
      <c r="B12" s="5" t="inlineStr">
        <is>
          <t>Agile metrics dashboard</t>
        </is>
      </c>
      <c r="C12" s="5" t="inlineStr">
        <is>
          <t>View sprint burndown and velocity charts</t>
        </is>
      </c>
      <c r="D12" s="8" t="inlineStr">
        <is>
          <t>As a scrum master, I want to see burndown and velocity charts for each sprint so that I can track progress against the sprint goal.</t>
        </is>
      </c>
      <c r="E12" s="5">
        <f>IF(COUNTIFS(Tasks!A:A,A12,Tasks!B:B,B12,Tasks!C:C,C12,Tasks!E:E,"Done")=COUNTIFS(Tasks!A:A,A12,Tasks!B:B,B12,Tasks!C:C,C12), "Done", IF(COUNTIFS(Tasks!A:A,A12,Tasks!B:B,B12,Tasks!C:C,C12,Tasks!E:E,"Done")=0, "Todo", "Partial"))</f>
        <v/>
      </c>
      <c r="F12" s="5" t="n">
        <v>23</v>
      </c>
      <c r="G12" s="5">
        <f>SUMIFS(Tasks!F:F, Tasks!A:A, A12, Tasks!B:B, B12, Tasks!C:C, C12)</f>
        <v/>
      </c>
      <c r="H12" s="5">
        <f>COUNTIFS(Tasks!A:A, A12, Tasks!B:B, B12, Tasks!C:C, C12)</f>
        <v/>
      </c>
      <c r="I12" s="8" t="inlineStr">
        <is>
          <t>1. The sprint page displays a burndown chart showing remaining story points over time.  The chart uses actual and ideal burn lines
it recalculates daily using sprint item completions.  The total story points calculation already exists in `CSprint`【477971868718673†L52-L150】.
2. Velocity charts show completed story points per sprint over time and compute average velocity.
3. Users can export charts to PNG or PDF.</t>
        </is>
      </c>
      <c r="J12"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3" ht="162.75" customHeight="1" s="6">
      <c r="A13" s="5" t="inlineStr">
        <is>
          <t>Reporting &amp; Analytics</t>
        </is>
      </c>
      <c r="B13" s="5" t="inlineStr">
        <is>
          <t>Financial and resource reports</t>
        </is>
      </c>
      <c r="C13" s="5" t="inlineStr">
        <is>
          <t>Generate financial performance reports</t>
        </is>
      </c>
      <c r="D13" s="8" t="inlineStr">
        <is>
          <t>As a finance officer, I want to generate reports showing budget, expenses, incomes and profit per project so that I can review financial performance.</t>
        </is>
      </c>
      <c r="E13" s="5">
        <f>IF(COUNTIFS(Tasks!A:A,A13,Tasks!B:B,B13,Tasks!C:C,C13,Tasks!E:E,"Done")=COUNTIFS(Tasks!A:A,A13,Tasks!B:B,B13,Tasks!C:C,C13), "Done", IF(COUNTIFS(Tasks!A:A,A13,Tasks!B:B,B13,Tasks!C:C,C13,Tasks!E:E,"Done")=0, "Todo", "Partial"))</f>
        <v/>
      </c>
      <c r="F13" s="5" t="n">
        <v>24</v>
      </c>
      <c r="G13" s="5">
        <f>SUMIFS(Tasks!F:F, Tasks!A:A, A13, Tasks!B:B, B13, Tasks!C:C, C13)</f>
        <v/>
      </c>
      <c r="H13" s="5">
        <f>COUNTIFS(Tasks!A:A, A13, Tasks!B:B, B13, Tasks!C:C, C13)</f>
        <v/>
      </c>
      <c r="I13" s="8" t="inlineStr">
        <is>
          <t>1. A financial dashboard lists projects with budget, actual cost, incomes and net result
negative results are highlighted.
2. Users can drill down into each project to view cost breakdown by activity, timesheet and expense entries.
3. Reports support export to CSV and PDF.</t>
        </is>
      </c>
      <c r="J13"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4" ht="162.75" customHeight="1" s="6">
      <c r="A14" s="5" t="inlineStr">
        <is>
          <t>Reporting &amp; Analytics</t>
        </is>
      </c>
      <c r="B14" s="5" t="inlineStr">
        <is>
          <t>Financial and resource reports</t>
        </is>
      </c>
      <c r="C14" s="5" t="inlineStr">
        <is>
          <t>View resource utilisation reports</t>
        </is>
      </c>
      <c r="D14" s="8" t="inlineStr">
        <is>
          <t>As a resource manager, I want to see utilisation rates for resources across projects so that I can balance workloads and improve efficiency.</t>
        </is>
      </c>
      <c r="E14" s="5">
        <f>IF(COUNTIFS(Tasks!A:A,A14,Tasks!B:B,B14,Tasks!C:C,C14,Tasks!E:E,"Done")=COUNTIFS(Tasks!A:A,A14,Tasks!B:B,B14,Tasks!C:C,C14), "Done", IF(COUNTIFS(Tasks!A:A,A14,Tasks!B:B,B14,Tasks!C:C,C14,Tasks!E:E,"Done")=0, "Todo", "Partial"))</f>
        <v/>
      </c>
      <c r="F14" s="5" t="n">
        <v>25</v>
      </c>
      <c r="G14" s="5">
        <f>SUMIFS(Tasks!F:F, Tasks!A:A, A14, Tasks!B:B, B14, Tasks!C:C, C14)</f>
        <v/>
      </c>
      <c r="H14" s="5">
        <f>COUNTIFS(Tasks!A:A, A14, Tasks!B:B, B14, Tasks!C:C, C14)</f>
        <v/>
      </c>
      <c r="I14" s="8" t="inlineStr">
        <is>
          <t>1. A report displays utilisation (%) of each resource: total hours worked versus capacity.  Under‑utilised and over‑utilised resources are highlighted.
2. Users can filter by date range, project and resource role.
3. Optionally, the report forecasts utilisation based on future assignments and estimated work.</t>
        </is>
      </c>
      <c r="J14"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5" ht="162.75" customHeight="1" s="6">
      <c r="A15" s="5" t="inlineStr">
        <is>
          <t>Reporting &amp; Analytics</t>
        </is>
      </c>
      <c r="B15" s="5" t="inlineStr">
        <is>
          <t>Custom report builder</t>
        </is>
      </c>
      <c r="C15" s="5" t="inlineStr">
        <is>
          <t>Build custom reports with a query UI</t>
        </is>
      </c>
      <c r="D15" s="8" t="inlineStr">
        <is>
          <t>As a project manager, I want to create custom reports by selecting data fields, filters and chart types so that I can answer specific questions without developer help.</t>
        </is>
      </c>
      <c r="E15" s="5">
        <f>IF(COUNTIFS(Tasks!A:A,A15,Tasks!B:B,B15,Tasks!C:C,C15,Tasks!E:E,"Done")=COUNTIFS(Tasks!A:A,A15,Tasks!B:B,B15,Tasks!C:C,C15), "Done", IF(COUNTIFS(Tasks!A:A,A15,Tasks!B:B,B15,Tasks!C:C,C15,Tasks!E:E,"Done")=0, "Todo", "Partial"))</f>
        <v/>
      </c>
      <c r="F15" s="5" t="n">
        <v>26</v>
      </c>
      <c r="G15" s="5">
        <f>SUMIFS(Tasks!F:F, Tasks!A:A, A15, Tasks!B:B, B15, Tasks!C:C, C15)</f>
        <v/>
      </c>
      <c r="H15" s="5">
        <f>COUNTIFS(Tasks!A:A, A15, Tasks!B:B, B15, Tasks!C:C, C15)</f>
        <v/>
      </c>
      <c r="I15" s="8" t="inlineStr">
        <is>
          <t>1. A report builder wizard allows users to choose entities (Project, Activity, Risk, Timesheet, etc.), select fields and define filters (e.g., date range, status, assigned user).
2. Users can choose chart types (table, bar, line, pie) and preview the results.
3. Reports can be saved, shared and exported.</t>
        </is>
      </c>
      <c r="J15" s="9" t="inlineStr">
        <is>
          <t xml:space="preserve">Value: Provides insights into project progress, team performance and financial health through dashboards and custom reports, supporting data‑driven decisions.
Implementation risks: Requires accurate underlying data and careful design to avoid misinterpretation; cross‑project reports can be computationally intensive.
Competitor examples: • Jira offers dashboards with gadgets for velocity and burndown
• ProjeQtOr includes reporting modules for finance and resources.
</t>
        </is>
      </c>
    </row>
    <row r="16" ht="177.4" customHeight="1" s="6">
      <c r="A16" s="5" t="inlineStr">
        <is>
          <t>Portfolio &amp; Program Management</t>
        </is>
      </c>
      <c r="B16" s="5" t="inlineStr">
        <is>
          <t>Portfolio and program entities</t>
        </is>
      </c>
      <c r="C16" s="5" t="inlineStr">
        <is>
          <t>Create portfolios and programs</t>
        </is>
      </c>
      <c r="D16" s="8" t="inlineStr">
        <is>
          <t>As a portfolio manager, I want to group projects into portfolios and programs so that I can manage related initiatives collectively.</t>
        </is>
      </c>
      <c r="E16" s="5">
        <f>IF(COUNTIFS(Tasks!A:A,A16,Tasks!B:B,B16,Tasks!C:C,C16,Tasks!E:E,"Done")=COUNTIFS(Tasks!A:A,A16,Tasks!B:B,B16,Tasks!C:C,C16), "Done", IF(COUNTIFS(Tasks!A:A,A16,Tasks!B:B,B16,Tasks!C:C,C16,Tasks!E:E,"Done")=0, "Todo", "Partial"))</f>
        <v/>
      </c>
      <c r="F16" s="5" t="n">
        <v>27</v>
      </c>
      <c r="G16" s="5">
        <f>SUMIFS(Tasks!F:F, Tasks!A:A, A16, Tasks!B:B, B16, Tasks!C:C, C16)</f>
        <v/>
      </c>
      <c r="H16" s="5">
        <f>COUNTIFS(Tasks!A:A, A16, Tasks!B:B, B16, Tasks!C:C, C16)</f>
        <v/>
      </c>
      <c r="I16" s="8" t="inlineStr">
        <is>
          <t>1. New entities `CPortfolio` and `CProgram` extend `CEntityOfCompany` with fields such as `name`, `description`, `owner`, `startDate`, `endDate`, `status` and relations to multiple `CProject` objects.
2. A project may belong to zero or one portfolio and zero or one program
many projects can share the same portfolio or program.
3. Portfolio pages summarise key metrics: number of projects, total budget, progress (aggregated story points completed), risk summary and financial performance.
4. Program pages show dependencies between projects and overall milestones.</t>
        </is>
      </c>
      <c r="J16"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row>
    <row r="17" ht="148.1" customHeight="1" s="6">
      <c r="A17" s="5" t="inlineStr">
        <is>
          <t>Portfolio &amp; Program Management</t>
        </is>
      </c>
      <c r="B17" s="5" t="inlineStr">
        <is>
          <t>Portfolio dashboards and dependency management</t>
        </is>
      </c>
      <c r="C17" s="5" t="inlineStr">
        <is>
          <t>View portfolio dashboard</t>
        </is>
      </c>
      <c r="D17" s="8" t="inlineStr">
        <is>
          <t>As a portfolio manager, I want a dashboard summarising project status, budget consumption, risks and schedule across the portfolio so that I can quickly assess health.</t>
        </is>
      </c>
      <c r="E17" s="5">
        <f>IF(COUNTIFS(Tasks!A:A,A17,Tasks!B:B,B17,Tasks!C:C,C17,Tasks!E:E,"Done")=COUNTIFS(Tasks!A:A,A17,Tasks!B:B,B17,Tasks!C:C,C17), "Done", IF(COUNTIFS(Tasks!A:A,A17,Tasks!B:B,B17,Tasks!C:C,C17,Tasks!E:E,"Done")=0, "Todo", "Partial"))</f>
        <v/>
      </c>
      <c r="F17" s="5" t="n">
        <v>28</v>
      </c>
      <c r="G17" s="5">
        <f>SUMIFS(Tasks!F:F, Tasks!A:A, A17, Tasks!B:B, B17, Tasks!C:C, C17)</f>
        <v/>
      </c>
      <c r="H17" s="5">
        <f>COUNTIFS(Tasks!A:A, A17, Tasks!B:B, B17, Tasks!C:C, C17)</f>
        <v/>
      </c>
      <c r="I17" s="8" t="inlineStr">
        <is>
          <t>1. A portfolio dashboard lists each project with key metrics (RAG status, budget variance, schedule variance, risk count, velocity).
2. A summary section aggregates budgets, costs and completion percentages across the portfolio.
3. A risk matrix shows high‑risk items across all projects.</t>
        </is>
      </c>
      <c r="J17"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row>
    <row r="18" ht="148.1" customHeight="1" s="6">
      <c r="A18" s="5" t="inlineStr">
        <is>
          <t>Portfolio &amp; Program Management</t>
        </is>
      </c>
      <c r="B18" s="5" t="inlineStr">
        <is>
          <t>Portfolio dashboards and dependency management</t>
        </is>
      </c>
      <c r="C18" s="5" t="inlineStr">
        <is>
          <t>Manage cross‑project dependencies</t>
        </is>
      </c>
      <c r="D18" s="8" t="inlineStr">
        <is>
          <t>As a program manager, I want to record dependencies between projects and view a timeline of milestones so that I can coordinate schedules and avoid delays.</t>
        </is>
      </c>
      <c r="E18" s="5">
        <f>IF(COUNTIFS(Tasks!A:A,A18,Tasks!B:B,B18,Tasks!C:C,C18,Tasks!E:E,"Done")=COUNTIFS(Tasks!A:A,A18,Tasks!B:B,B18,Tasks!C:C,C18), "Done", IF(COUNTIFS(Tasks!A:A,A18,Tasks!B:B,B18,Tasks!C:C,C18,Tasks!E:E,"Done")=0, "Todo", "Partial"))</f>
        <v/>
      </c>
      <c r="F18" s="5" t="n">
        <v>29</v>
      </c>
      <c r="G18" s="5">
        <f>SUMIFS(Tasks!F:F, Tasks!A:A, A18, Tasks!B:B, B18, Tasks!C:C, C18)</f>
        <v/>
      </c>
      <c r="H18" s="5">
        <f>COUNTIFS(Tasks!A:A, A18, Tasks!B:B, B18, Tasks!C:C, C18)</f>
        <v/>
      </c>
      <c r="I18" s="8" t="inlineStr">
        <is>
          <t>1. A new entity `CProjectDependency` links two projects with fields: `dependencyType` (finish‑to‑start, start‑to‑start, etc.), `description`, `impact` and `status`.
2. Program pages display a dependency matrix and a timeline view (Gantt) showing milestones and dependencies.
3. Alerts notify program managers when dependent tasks slip past their scheduled dates.</t>
        </is>
      </c>
      <c r="J18" s="9" t="inlineStr">
        <is>
          <t xml:space="preserve">Value: Enables strategic oversight across multiple projects, aligning initiatives with organisational goals and balancing budgets and resources across the portfolio.
Implementation risks: Complex cross‑project relationships and dependencies can lead to data inconsistencies; requires robust linking mechanisms.
Competitor examples: • Advanced Roadmaps (Jira Portfolio) allows planning across multiple projects
• Monday.com provides high‑level timeline views.
</t>
        </is>
      </c>
    </row>
    <row r="19" ht="148.1" customHeight="1" s="6">
      <c r="A19" s="5" t="inlineStr">
        <is>
          <t>Idea &amp; Backlog Management</t>
        </is>
      </c>
      <c r="B19" s="5" t="inlineStr">
        <is>
          <t>Idea capture &amp; voting</t>
        </is>
      </c>
      <c r="C19" s="5" t="inlineStr">
        <is>
          <t>Submit and vote on ideas</t>
        </is>
      </c>
      <c r="D19" s="8" t="inlineStr">
        <is>
          <t>As a product owner, I want stakeholders to submit feature ideas and vote on them so that we can identify high‑value features.</t>
        </is>
      </c>
      <c r="E19" s="5">
        <f>IF(COUNTIFS(Tasks!A:A,A19,Tasks!B:B,B19,Tasks!C:C,C19,Tasks!E:E,"Done")=COUNTIFS(Tasks!A:A,A19,Tasks!B:B,B19,Tasks!C:C,C19), "Done", IF(COUNTIFS(Tasks!A:A,A19,Tasks!B:B,B19,Tasks!C:C,C19,Tasks!E:E,"Done")=0, "Todo", "Partial"))</f>
        <v/>
      </c>
      <c r="F19" s="5" t="n">
        <v>30</v>
      </c>
      <c r="G19" s="5">
        <f>SUMIFS(Tasks!F:F, Tasks!A:A, A19, Tasks!B:B, B19, Tasks!C:C, C19)</f>
        <v/>
      </c>
      <c r="H19" s="5">
        <f>COUNTIFS(Tasks!A:A, A19, Tasks!B:B, B19, Tasks!C:C, C19)</f>
        <v/>
      </c>
      <c r="I19" s="8" t="inlineStr">
        <is>
          <t>1. A new entity `CIdea` extends `CEntityOfCompany` with fields: `title`, `description`, `submitter`, `submissionDate`, `status` (Open, Under Review, Planned, Rejected), `voteCount`, `tags`.
2. Users can submit ideas via a simple form and vote (upvote) once per idea.  Duplicate submissions are detected via title similarity.
3. Product owners can change the status and add comments explaining decisions.
4. Ideas can be linked to epics, features or user stories in the backlog (traceability).</t>
        </is>
      </c>
      <c r="J19" s="9" t="inlineStr">
        <is>
          <t xml:space="preserve">Value: Facilitates innovation by capturing stakeholder ideas and ensures backlog items are prioritised based on votes and strategic value.
Implementation risks: Risk of duplicate or low‑value ideas cluttering the backlog; requires clear policies for triaging and prioritising.
Competitor examples: • Trello and Monday.com support idea submission and voting to surface high‑value features.
</t>
        </is>
      </c>
    </row>
    <row r="20" ht="133.45" customHeight="1" s="6">
      <c r="A20" s="5" t="inlineStr">
        <is>
          <t>Idea &amp; Backlog Management</t>
        </is>
      </c>
      <c r="B20" s="5" t="inlineStr">
        <is>
          <t>Backlog management board</t>
        </is>
      </c>
      <c r="C20" s="5" t="inlineStr">
        <is>
          <t>Manage product backlog</t>
        </is>
      </c>
      <c r="D20" s="8" t="inlineStr">
        <is>
          <t>As a product owner, I want to maintain a backlog of features and user stories with prioritisation, so that we can plan upcoming sprints.</t>
        </is>
      </c>
      <c r="E20" s="5">
        <f>IF(COUNTIFS(Tasks!A:A,A20,Tasks!B:B,B20,Tasks!C:C,C20,Tasks!E:E,"Done")=COUNTIFS(Tasks!A:A,A20,Tasks!B:B,B20,Tasks!C:C,C20), "Done", IF(COUNTIFS(Tasks!A:A,A20,Tasks!B:B,B20,Tasks!C:C,C20,Tasks!E:E,"Done")=0, "Todo", "Partial"))</f>
        <v/>
      </c>
      <c r="F20" s="5" t="n">
        <v>31</v>
      </c>
      <c r="G20" s="5">
        <f>SUMIFS(Tasks!F:F, Tasks!A:A, A20, Tasks!B:B, B20, Tasks!C:C, C20)</f>
        <v/>
      </c>
      <c r="H20" s="5">
        <f>COUNTIFS(Tasks!A:A, A20, Tasks!B:B, B20, Tasks!C:C, C20)</f>
        <v/>
      </c>
      <c r="I20" s="8" t="inlineStr">
        <is>
          <t>1. A backlog board displays backlog items grouped by priority (High, Medium, Low) and status (To Do, In Progress, Done).  Items can be filtered by epic, feature, project or idea.
2. Users can drag and drop items to re‑prioritise or move them between statuses.  The board uses the existing Kanban implementation for drag‑and‑drop, adapted for backlog items.
3. Backlog items track effort estimates (story points or hours), acceptance criteria and dependencies (links to other items).</t>
        </is>
      </c>
      <c r="J20" s="9" t="inlineStr">
        <is>
          <t xml:space="preserve">Value: Facilitates innovation by capturing stakeholder ideas and ensures backlog items are prioritised based on votes and strategic value.
Implementation risks: Risk of duplicate or low‑value ideas cluttering the backlog; requires clear policies for triaging and prioritising.
Competitor examples: • Trello and Monday.com support idea submission and voting to surface high‑value features.
</t>
        </is>
      </c>
    </row>
    <row r="21" ht="221.4" customHeight="1" s="6">
      <c r="A21" s="5" t="inlineStr">
        <is>
          <t>Issue &amp; Bug Tracking</t>
        </is>
      </c>
      <c r="B21" s="5" t="inlineStr">
        <is>
          <t>Issue and bug entities</t>
        </is>
      </c>
      <c r="C21" s="5" t="inlineStr">
        <is>
          <t>Log and manage issues</t>
        </is>
      </c>
      <c r="D21" s="8" t="inlineStr">
        <is>
          <t>As a developer, I want to record issues/bugs with severity, priority and reproduction steps so that the team can track and resolve defects.</t>
        </is>
      </c>
      <c r="E21" s="5">
        <f>IF(COUNTIFS(Tasks!A:A,A21,Tasks!B:B,B21,Tasks!C:C,C21,Tasks!E:E,"Done")=COUNTIFS(Tasks!A:A,A21,Tasks!B:B,B21,Tasks!C:C,C21), "Done", IF(COUNTIFS(Tasks!A:A,A21,Tasks!B:B,B21,Tasks!C:C,C21,Tasks!E:E,"Done")=0, "Todo", "Partial"))</f>
        <v/>
      </c>
      <c r="F21" s="5" t="n">
        <v>32</v>
      </c>
      <c r="G21" s="5">
        <f>SUMIFS(Tasks!F:F, Tasks!A:A, A21, Tasks!B:B, B21, Tasks!C:C, C21)</f>
        <v/>
      </c>
      <c r="H21" s="5">
        <f>COUNTIFS(Tasks!A:A, A21, Tasks!B:B, B21, Tasks!C:C, C21)</f>
        <v/>
      </c>
      <c r="I21" s="8" t="inlineStr">
        <is>
          <t>1. A new entity `CIssue` extends `CEntityOfProject` with fields: `title`, `description`, `issueType` (Bug, Improvement, Task), `severity` (Critical, Major, Minor), `priority`, `stepsToReproduce`, `expectedResult`, `actualResult`, `status` (Open, In Progress, Resolved, Closed), `resolution`, `createdBy`, `assignedTo`, `createdDate`, `resolvedDate`, `dueDate`, `linkedActivity` (optional).
2. Users can create issues via a form
required fields include title, description and issue type.
3. Workflows allow changing issue status with optional transitions (Open→In Progress→Resolved→Closed).  State transitions record timestamps and user performing the action.
4. Issues can be filtered and searched by project, severity, status, assigned user and tags.
5. Issue views show related comments, attachments and history.</t>
        </is>
      </c>
      <c r="J21" s="9" t="inlineStr">
        <is>
          <t xml:space="preserve">Value: Improves software quality by tracking defects and issues separately from tasks, enabling dedicated workflows for triage and resolution.
Implementation risks: Requires disciplined classification and prioritisation; duplicates and backlogs can grow quickly without proper triage.
Competitor examples: • Jira’s issue tracking system is widely used
• ProjeQtOr also includes bug tracking capabilities.
</t>
        </is>
      </c>
    </row>
    <row r="22" ht="148.1" customHeight="1" s="6">
      <c r="A22" s="5" t="inlineStr">
        <is>
          <t>Issue &amp; Bug Tracking</t>
        </is>
      </c>
      <c r="B22" s="5" t="inlineStr">
        <is>
          <t>Issue triage and severity matrix</t>
        </is>
      </c>
      <c r="C22" s="5" t="inlineStr">
        <is>
          <t>Prioritise issues using a severity matrix</t>
        </is>
      </c>
      <c r="D22" s="8" t="inlineStr">
        <is>
          <t>As a product owner, I want to visualise issues based on severity and urgency so that I can prioritise resolution efforts.</t>
        </is>
      </c>
      <c r="E22" s="5">
        <f>IF(COUNTIFS(Tasks!A:A,A22,Tasks!B:B,B22,Tasks!C:C,C22,Tasks!E:E,"Done")=COUNTIFS(Tasks!A:A,A22,Tasks!B:B,B22,Tasks!C:C,C22), "Done", IF(COUNTIFS(Tasks!A:A,A22,Tasks!B:B,B22,Tasks!C:C,C22,Tasks!E:E,"Done")=0, "Todo", "Partial"))</f>
        <v/>
      </c>
      <c r="F22" s="5" t="n">
        <v>33</v>
      </c>
      <c r="G22" s="5">
        <f>SUMIFS(Tasks!F:F, Tasks!A:A, A22, Tasks!B:B, B22, Tasks!C:C, C22)</f>
        <v/>
      </c>
      <c r="H22" s="5">
        <f>COUNTIFS(Tasks!A:A, A22, Tasks!B:B, B22, Tasks!C:C, C22)</f>
        <v/>
      </c>
      <c r="I22" s="8" t="inlineStr">
        <is>
          <t>1. A severity matrix displays issues in a two‑dimensional chart with severity (Critical, Major, Minor) and urgency (calculated from due date and start date).  Each cell lists the number of open issues.
2. Clicking on a cell filters the issue list to the corresponding category.
3. The matrix updates automatically when issues are added or updated.</t>
        </is>
      </c>
      <c r="J22" s="9" t="inlineStr">
        <is>
          <t xml:space="preserve">Value: Improves software quality by tracking defects and issues separately from tasks, enabling dedicated workflows for triage and resolution.
Implementation risks: Requires disciplined classification and prioritisation; duplicates and backlogs can grow quickly without proper triage.
Competitor examples: • Jira’s issue tracking system is widely used
• ProjeQtOr also includes bug tracking capabilities.
</t>
        </is>
      </c>
    </row>
    <row r="23" ht="133.45" customHeight="1" s="6">
      <c r="A23" s="5" t="inlineStr">
        <is>
          <t>Calendar &amp; Scheduling Integration</t>
        </is>
      </c>
      <c r="B23" s="5" t="inlineStr">
        <is>
          <t>Calendar view</t>
        </is>
      </c>
      <c r="C23" s="5" t="inlineStr">
        <is>
          <t>View project events on a calendar</t>
        </is>
      </c>
      <c r="D23" s="8" t="inlineStr">
        <is>
          <t>As a user, I want to see all my upcoming meetings, sprint start/end dates and activity due dates in a calendar view so that I can plan my work.</t>
        </is>
      </c>
      <c r="E23" s="5">
        <f>IF(COUNTIFS(Tasks!A:A,A23,Tasks!B:B,B23,Tasks!C:C,C23,Tasks!E:E,"Done")=COUNTIFS(Tasks!A:A,A23,Tasks!B:B,B23,Tasks!C:C,C23), "Done", IF(COUNTIFS(Tasks!A:A,A23,Tasks!B:B,B23,Tasks!C:C,C23,Tasks!E:E,"Done")=0, "Todo", "Partial"))</f>
        <v/>
      </c>
      <c r="F23" s="5" t="n">
        <v>34</v>
      </c>
      <c r="G23" s="5">
        <f>SUMIFS(Tasks!F:F, Tasks!A:A, A23, Tasks!B:B, B23, Tasks!C:C, C23)</f>
        <v/>
      </c>
      <c r="H23" s="5">
        <f>COUNTIFS(Tasks!A:A, A23, Tasks!B:B, B23, Tasks!C:C, C23)</f>
        <v/>
      </c>
      <c r="I23" s="8" t="inlineStr">
        <is>
          <t>1. A calendar page displays events (meetings, sprint milestones, activity due dates, risk review dates) in daily, weekly and monthly views.  Events are colour‑coded by type.
2. Users can click on events to open the associated page (e.g., meeting details).  Events show tooltips with summary information.
3. Users can synchronise events with external calendars (e.g., via iCal feed).</t>
        </is>
      </c>
      <c r="J23" s="9" t="inlineStr">
        <is>
          <t xml:space="preserve">Value: Provides a unified view of sprints, meetings and task deadlines, reducing scheduling conflicts and improving team coordination.
Implementation risks: Time‑zone handling, integration with external calendars and rescheduling conflicts can be challenging.
Competitor examples: • Monday.com integrates with Google Calendar and Outlook
• Jira offers timeline and calendar views through add‑ons.
</t>
        </is>
      </c>
    </row>
    <row r="24" ht="133.45" customHeight="1" s="6">
      <c r="A24" s="5" t="inlineStr">
        <is>
          <t>Calendar &amp; Scheduling Integration</t>
        </is>
      </c>
      <c r="B24" s="5" t="inlineStr">
        <is>
          <t>Scheduling assistant</t>
        </is>
      </c>
      <c r="C24" s="5" t="inlineStr">
        <is>
          <t>Suggest meeting times avoiding conflicts</t>
        </is>
      </c>
      <c r="D24" s="8" t="inlineStr">
        <is>
          <t>As a user, I want the system to suggest meeting times based on participant availability and existing bookings so that scheduling is easier.</t>
        </is>
      </c>
      <c r="E24" s="5">
        <f>IF(COUNTIFS(Tasks!A:A,A24,Tasks!B:B,B24,Tasks!C:C,C24,Tasks!E:E,"Done")=COUNTIFS(Tasks!A:A,A24,Tasks!B:B,B24,Tasks!C:C,C24), "Done", IF(COUNTIFS(Tasks!A:A,A24,Tasks!B:B,B24,Tasks!C:C,C24,Tasks!E:E,"Done")=0, "Todo", "Partial"))</f>
        <v/>
      </c>
      <c r="F24" s="5" t="n">
        <v>35</v>
      </c>
      <c r="G24" s="5">
        <f>SUMIFS(Tasks!F:F, Tasks!A:A, A24, Tasks!B:B, B24, Tasks!C:C, C24)</f>
        <v/>
      </c>
      <c r="H24" s="5">
        <f>COUNTIFS(Tasks!A:A, A24, Tasks!B:B, B24, Tasks!C:C, C24)</f>
        <v/>
      </c>
      <c r="I24" s="8" t="inlineStr">
        <is>
          <t>1. When creating a meeting, the system suggests available time slots for selected participants based on their calendars and working hours.
2. Suggested slots avoid conflicts with existing meetings, sprint ceremonies and due dates.  Users can override suggestions.
3. A warning appears when a chosen time conflicts with participants’ schedules.</t>
        </is>
      </c>
      <c r="J24" s="9" t="inlineStr">
        <is>
          <t xml:space="preserve">Value: Provides a unified view of sprints, meetings and task deadlines, reducing scheduling conflicts and improving team coordination.
Implementation risks: Time‑zone handling, integration with external calendars and rescheduling conflicts can be challenging.
Competitor examples: • Monday.com integrates with Google Calendar and Outlook
• Jira offers timeline and calendar views through add‑ons.
</t>
        </is>
      </c>
    </row>
    <row r="25" ht="148.1" customHeight="1" s="6">
      <c r="A25" s="5" t="inlineStr">
        <is>
          <t>Permissions &amp; Role Management UI</t>
        </is>
      </c>
      <c r="B25" s="5" t="inlineStr">
        <is>
          <t>Role &amp; permission administration</t>
        </is>
      </c>
      <c r="C25" s="5" t="inlineStr">
        <is>
          <t>Manage roles and permissions</t>
        </is>
      </c>
      <c r="D25" s="8" t="inlineStr">
        <is>
          <t>As a system administrator, I want to create roles and assign permissions to them so that I can tailor access controls to my organisation’s needs.</t>
        </is>
      </c>
      <c r="E25" s="5">
        <f>IF(COUNTIFS(Tasks!A:A,A25,Tasks!B:B,B25,Tasks!C:C,C25,Tasks!E:E,"Done")=COUNTIFS(Tasks!A:A,A25,Tasks!B:B,B25,Tasks!C:C,C25), "Done", IF(COUNTIFS(Tasks!A:A,A25,Tasks!B:B,B25,Tasks!C:C,C25,Tasks!E:E,"Done")=0, "Todo", "Partial"))</f>
        <v/>
      </c>
      <c r="F25" s="5" t="n">
        <v>36</v>
      </c>
      <c r="G25" s="5">
        <f>SUMIFS(Tasks!F:F, Tasks!A:A, A25, Tasks!B:B, B25, Tasks!C:C, C25)</f>
        <v/>
      </c>
      <c r="H25" s="5">
        <f>COUNTIFS(Tasks!A:A, A25, Tasks!B:B, B25, Tasks!C:C, C25)</f>
        <v/>
      </c>
      <c r="I25" s="8" t="inlineStr">
        <is>
          <t>1. A new entity `CRole` extends `CEntityOfCompany` with fields: `name`, `description`, `permissions` (list of strings).  Permissions correspond to Spring Security authorities.
2. An administration page lists all roles with the assigned permissions and number of users.  Administrators can create, edit and delete roles.
3. Another page lists users and their assigned roles
administrators can assign multiple roles to a user.
4. The UI ensures that at least one user has the “Admin” role
roles cannot be deleted if they are assigned to a user.</t>
        </is>
      </c>
      <c r="J25" s="9" t="inlineStr">
        <is>
          <t xml:space="preserve">Value: Empowers administrators to assign granular permissions and roles, ensuring security and compliance while reducing administrative overhead.
Implementation risks: Complexity in designing flexible yet intuitive permission structures; risk of misconfiguration leading to access issues.
Competitor examples: • Jira provides permission schemes and role management
• many enterprise tools include dedicated role administration UIs.
</t>
        </is>
      </c>
    </row>
    <row r="26" ht="162.75" customHeight="1" s="6">
      <c r="A26" s="5" t="inlineStr">
        <is>
          <t>Client Portal &amp; Stakeholder Collaboration</t>
        </is>
      </c>
      <c r="B26" s="5" t="inlineStr">
        <is>
          <t>Client accounts &amp; permissions</t>
        </is>
      </c>
      <c r="C26" s="5" t="inlineStr">
        <is>
          <t>Create and manage client accounts</t>
        </is>
      </c>
      <c r="D26" s="8" t="inlineStr">
        <is>
          <t>As an account manager, I want to create client accounts with limited permissions so that clients can access project status and raise issues.</t>
        </is>
      </c>
      <c r="E26" s="5">
        <f>IF(COUNTIFS(Tasks!A:A,A26,Tasks!B:B,B26,Tasks!C:C,C26,Tasks!E:E,"Done")=COUNTIFS(Tasks!A:A,A26,Tasks!B:B,B26,Tasks!C:C,C26), "Done", IF(COUNTIFS(Tasks!A:A,A26,Tasks!B:B,B26,Tasks!C:C,C26,Tasks!E:E,"Done")=0, "Todo", "Partial"))</f>
        <v/>
      </c>
      <c r="F26" s="5" t="n">
        <v>37</v>
      </c>
      <c r="G26" s="5">
        <f>SUMIFS(Tasks!F:F, Tasks!A:A, A26, Tasks!B:B, B26, Tasks!C:C, C26)</f>
        <v/>
      </c>
      <c r="H26" s="5">
        <f>COUNTIFS(Tasks!A:A, A26, Tasks!B:B, B26, Tasks!C:C, C26)</f>
        <v/>
      </c>
      <c r="I26" s="8" t="inlineStr">
        <is>
          <t>1. A `CClient` entity extends `CEntityOfCompany` representing external stakeholders.  Each client has a secure login with restricted roles (e.g., Viewer, IssueReporter).
2. Administrators can assign clients to specific projects and define what modules they can see (e.g., only project status, issues and risks, not financials or tasks).
3. Clients can only see data for projects to which they are assigned
they cannot see internal comments or attachments marked as private.
4. Client access is audited.</t>
        </is>
      </c>
      <c r="J26" s="9" t="inlineStr">
        <is>
          <t xml:space="preserve">Value: Strengthens client relationships by providing transparent access to project progress, deliverables and feedback channels.
Implementation risks: Ensuring that clients access only relevant data; adapting the UI to different client needs and maintaining security.
Competitor examples: • Products like Basecamp offer client access
• ProjeQtOr allows external stakeholders to view project information.
</t>
        </is>
      </c>
    </row>
    <row r="27" ht="148.1" customHeight="1" s="6">
      <c r="A27" s="5" t="inlineStr">
        <is>
          <t>Client Portal &amp; Stakeholder Collaboration</t>
        </is>
      </c>
      <c r="B27" s="5" t="inlineStr">
        <is>
          <t>Collaborative feedback and approvals</t>
        </is>
      </c>
      <c r="C27" s="5" t="inlineStr">
        <is>
          <t>Collect client feedback and approvals</t>
        </is>
      </c>
      <c r="D27" s="8" t="inlineStr">
        <is>
          <t>As a product owner, I want clients to provide feedback and approve deliverables through the portal so that we have documented sign‑offs.</t>
        </is>
      </c>
      <c r="E27" s="5">
        <f>IF(COUNTIFS(Tasks!A:A,A27,Tasks!B:B,B27,Tasks!C:C,C27,Tasks!E:E,"Done")=COUNTIFS(Tasks!A:A,A27,Tasks!B:B,B27,Tasks!C:C,C27), "Done", IF(COUNTIFS(Tasks!A:A,A27,Tasks!B:B,B27,Tasks!C:C,C27,Tasks!E:E,"Done")=0, "Todo", "Partial"))</f>
        <v/>
      </c>
      <c r="F27" s="5" t="n">
        <v>38</v>
      </c>
      <c r="G27" s="5">
        <f>SUMIFS(Tasks!F:F, Tasks!A:A, A27, Tasks!B:B, B27, Tasks!C:C, C27)</f>
        <v/>
      </c>
      <c r="H27" s="5">
        <f>COUNTIFS(Tasks!A:A, A27, Tasks!B:B, B27, Tasks!C:C, C27)</f>
        <v/>
      </c>
      <c r="I27" s="8" t="inlineStr">
        <is>
          <t>1. Clients can submit feedback on sprints or deliverables.  Feedback is stored as comments linked to sprints or activities.
2. Clients can approve or reject deliverables via a simple workflow (e.g., Accept/Reject buttons with comments).
3. Approval status is visible to the project team
approvals trigger notifications.</t>
        </is>
      </c>
      <c r="J27" s="9" t="inlineStr">
        <is>
          <t xml:space="preserve">Value: Strengthens client relationships by providing transparent access to project progress, deliverables and feedback channels.
Implementation risks: Ensuring that clients access only relevant data; adapting the UI to different client needs and maintaining security.
Competitor examples: • Products like Basecamp offer client access
• ProjeQtOr allows external stakeholders to view project information.
</t>
        </is>
      </c>
    </row>
    <row r="28" ht="118.75" customHeight="1" s="6">
      <c r="A28" s="5" t="inlineStr">
        <is>
          <t>AI &amp; Automation</t>
        </is>
      </c>
      <c r="B28" s="5" t="inlineStr">
        <is>
          <t>Intelligent recommendations</t>
        </is>
      </c>
      <c r="C28" s="5" t="inlineStr">
        <is>
          <t>Suggest backlog priorities</t>
        </is>
      </c>
      <c r="D28" s="8" t="inlineStr">
        <is>
          <t>As a product owner, I want the system to suggest priorities for backlog items based on historical velocity, story complexity and business impact so that I can make informed decisions.</t>
        </is>
      </c>
      <c r="E28" s="5">
        <f>IF(COUNTIFS(Tasks!A:A,A28,Tasks!B:B,B28,Tasks!C:C,C28,Tasks!E:E,"Done")=COUNTIFS(Tasks!A:A,A28,Tasks!B:B,B28,Tasks!C:C,C28), "Done", IF(COUNTIFS(Tasks!A:A,A28,Tasks!B:B,B28,Tasks!C:C,C28,Tasks!E:E,"Done")=0, "Todo", "Partial"))</f>
        <v/>
      </c>
      <c r="F28" s="5" t="n">
        <v>39</v>
      </c>
      <c r="G28" s="5">
        <f>SUMIFS(Tasks!F:F, Tasks!A:A, A28, Tasks!B:B, B28, Tasks!C:C, C28)</f>
        <v/>
      </c>
      <c r="H28" s="5">
        <f>COUNTIFS(Tasks!A:A, A28, Tasks!B:B, B28, Tasks!C:C, C28)</f>
        <v/>
      </c>
      <c r="I28" s="8" t="inlineStr">
        <is>
          <t>1. The system uses historical sprint data (completed story points and time) to estimate the complexity of new items and recommends a priority (High, Medium, Low).
2. Business impact can be captured via a simple scoring field on backlog items
the recommendation algorithm balances impact and complexity.
3. Recommendations are shown as a suggestion next to the priority field and can be accepted or overridden by users.</t>
        </is>
      </c>
      <c r="J28"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29" ht="118.75" customHeight="1" s="6">
      <c r="A29" s="5" t="inlineStr">
        <is>
          <t>AI &amp; Automation</t>
        </is>
      </c>
      <c r="B29" s="5" t="inlineStr">
        <is>
          <t>Natural language summaries and insights</t>
        </is>
      </c>
      <c r="C29" s="5" t="inlineStr">
        <is>
          <t>Summarise meeting minutes and discussions</t>
        </is>
      </c>
      <c r="D29" s="8" t="inlineStr">
        <is>
          <t>As a team member, I want AI to summarise meeting minutes and comment threads so that I can quickly understand key points.</t>
        </is>
      </c>
      <c r="E29" s="5">
        <f>IF(COUNTIFS(Tasks!A:A,A29,Tasks!B:B,B29,Tasks!C:C,C29,Tasks!E:E,"Done")=COUNTIFS(Tasks!A:A,A29,Tasks!B:B,B29,Tasks!C:C,C29), "Done", IF(COUNTIFS(Tasks!A:A,A29,Tasks!B:B,B29,Tasks!C:C,C29,Tasks!E:E,"Done")=0, "Todo", "Partial"))</f>
        <v/>
      </c>
      <c r="F29" s="5" t="n">
        <v>40</v>
      </c>
      <c r="G29" s="5">
        <f>SUMIFS(Tasks!F:F, Tasks!A:A, A29, Tasks!B:B, B29, Tasks!C:C, C29)</f>
        <v/>
      </c>
      <c r="H29" s="5">
        <f>COUNTIFS(Tasks!A:A, A29, Tasks!B:B, B29, Tasks!C:C, C29)</f>
        <v/>
      </c>
      <c r="I29" s="8" t="inlineStr">
        <is>
          <t>1. When a meeting ends or a comment thread grows long, the system generates a concise summary highlighting decisions, action items and risks.
2. Summaries use natural language processing (NLP) models and are stored with the meeting or thread for later reference.
3. Users can edit or regenerate summaries if needed.</t>
        </is>
      </c>
      <c r="J29"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30" ht="118.75" customHeight="1" s="6">
      <c r="A30" s="5" t="inlineStr">
        <is>
          <t>AI &amp; Automation</t>
        </is>
      </c>
      <c r="B30" s="5" t="inlineStr">
        <is>
          <t>Predictive analytics</t>
        </is>
      </c>
      <c r="C30" s="5" t="inlineStr">
        <is>
          <t>Forecast project completion and risk</t>
        </is>
      </c>
      <c r="D30" s="8" t="inlineStr">
        <is>
          <t>As a project manager, I want the system to forecast project completion date and highlight activities at risk of delay so that I can proactively mitigate issues.</t>
        </is>
      </c>
      <c r="E30" s="5">
        <f>IF(COUNTIFS(Tasks!A:A,A30,Tasks!B:B,B30,Tasks!C:C,C30,Tasks!E:E,"Done")=COUNTIFS(Tasks!A:A,A30,Tasks!B:B,B30,Tasks!C:C,C30), "Done", IF(COUNTIFS(Tasks!A:A,A30,Tasks!B:B,B30,Tasks!C:C,C30,Tasks!E:E,"Done")=0, "Todo", "Partial"))</f>
        <v/>
      </c>
      <c r="F30" s="5" t="n">
        <v>41</v>
      </c>
      <c r="G30" s="5">
        <f>SUMIFS(Tasks!F:F, Tasks!A:A, A30, Tasks!B:B, B30, Tasks!C:C, C30)</f>
        <v/>
      </c>
      <c r="H30" s="5">
        <f>COUNTIFS(Tasks!A:A, A30, Tasks!B:B, B30, Tasks!C:C, C30)</f>
        <v/>
      </c>
      <c r="I30" s="8" t="inlineStr">
        <is>
          <t>1. A predictive model analyses current progress, velocity and past data to estimate the likely completion date for each project and sprint.
2. Activities with high variance between estimated and actual hours (e.g., `actualHours` &gt; `estimatedHours` by 20 %) are flagged as at‑risk and displayed in a risk report.
3. Forecasts update automatically with new data and are visualised on dashboards.</t>
        </is>
      </c>
      <c r="J30" s="9" t="inlineStr">
        <is>
          <t xml:space="preserve">Value: Enhances efficiency by automating repetitive tasks and providing predictive insights, enabling teams to focus on high‑value work.
Implementation risks: AI models require quality training data; results can be biased or inaccurate; need to maintain user trust.
Competitor examples: • Monday.com and Atlassian are introducing AI‑powered automation and analytics features.
</t>
        </is>
      </c>
    </row>
    <row r="31" ht="148.1" customHeight="1" s="6">
      <c r="A31" s="5" t="inlineStr">
        <is>
          <t>Notifications &amp; Integrations</t>
        </is>
      </c>
      <c r="B31" s="5" t="inlineStr">
        <is>
          <t>In‑app and email notifications</t>
        </is>
      </c>
      <c r="C31" s="5" t="inlineStr">
        <is>
          <t>Receive updates on relevant events</t>
        </is>
      </c>
      <c r="D31" s="8" t="inlineStr">
        <is>
          <t>As a user, I want to be notified when events occur (task assigned, comment added, issue status changed) so that I stay informed.</t>
        </is>
      </c>
      <c r="E31" s="5">
        <f>IF(COUNTIFS(Tasks!A:A,A31,Tasks!B:B,B31,Tasks!C:C,C31,Tasks!E:E,"Done")=COUNTIFS(Tasks!A:A,A31,Tasks!B:B,B31,Tasks!C:C,C31), "Done", IF(COUNTIFS(Tasks!A:A,A31,Tasks!B:B,B31,Tasks!C:C,C31,Tasks!E:E,"Done")=0, "Todo", "Partial"))</f>
        <v/>
      </c>
      <c r="F31" s="5" t="n">
        <v>42</v>
      </c>
      <c r="G31" s="5">
        <f>SUMIFS(Tasks!F:F, Tasks!A:A, A31, Tasks!B:B, B31, Tasks!C:C, C31)</f>
        <v/>
      </c>
      <c r="H31" s="5">
        <f>COUNTIFS(Tasks!A:A, A31, Tasks!B:B, B31, Tasks!C:C, C31)</f>
        <v/>
      </c>
      <c r="I31" s="8" t="inlineStr">
        <is>
          <t>1. Users can subscribe to notifications for specific events (assignments, status changes, budget alerts, comments, approvals).
2. Notifications are delivered both in‑app (bell icon) and via email.  Users can configure preferences (opt‑in/opt‑out per event type).
3. Notifications include actionable links to the relevant page (activity, issue, etc.).</t>
        </is>
      </c>
      <c r="J31" s="9" t="inlineStr">
        <is>
          <t xml:space="preserve">Value: Keeps team members informed of updates through multiple channels (in‑app, email, Slack), fostering collaboration and awareness.
Implementation risks: Notification fatigue and integration failures can reduce effectiveness; requires careful design of preferences and throttling.
Competitor examples: • Monday.com supports Slack notifications and email alerts
• Jira integrates with many third‑party messaging tools.
</t>
        </is>
      </c>
    </row>
    <row r="32" ht="148.1" customHeight="1" s="6">
      <c r="A32" s="5" t="inlineStr">
        <is>
          <t>Notifications &amp; Integrations</t>
        </is>
      </c>
      <c r="B32" s="5" t="inlineStr">
        <is>
          <t>External integrations (email, Slack, Git)**</t>
        </is>
      </c>
      <c r="C32" s="5" t="inlineStr">
        <is>
          <t>Integrate with Slack for real‑time updates</t>
        </is>
      </c>
      <c r="D32" s="8" t="inlineStr">
        <is>
          <t>As a team, I want Derbent to send notifications to a Slack channel for project updates so that everyone stays informed.</t>
        </is>
      </c>
      <c r="E32" s="5">
        <f>IF(COUNTIFS(Tasks!A:A,A32,Tasks!B:B,B32,Tasks!C:C,C32,Tasks!E:E,"Done")=COUNTIFS(Tasks!A:A,A32,Tasks!B:B,B32,Tasks!C:C,C32), "Done", IF(COUNTIFS(Tasks!A:A,A32,Tasks!B:B,B32,Tasks!C:C,C32,Tasks!E:E,"Done")=0, "Todo", "Partial"))</f>
        <v/>
      </c>
      <c r="F32" s="5" t="n">
        <v>43</v>
      </c>
      <c r="G32" s="5">
        <f>SUMIFS(Tasks!F:F, Tasks!A:A, A32, Tasks!B:B, B32, Tasks!C:C, C32)</f>
        <v/>
      </c>
      <c r="H32" s="5">
        <f>COUNTIFS(Tasks!A:A, A32, Tasks!B:B, B32, Tasks!C:C, C32)</f>
        <v/>
      </c>
      <c r="I32" s="8" t="inlineStr">
        <is>
          <t>1. Administrators can configure Slack webhooks and map Derbent events (e.g., sprint start, issue resolution) to Slack channels.
2. Notifications sent to Slack include key information and links back to Derbent.
3. Errors in webhook delivery are logged and notified to administrators.</t>
        </is>
      </c>
      <c r="J32" s="9" t="inlineStr">
        <is>
          <t xml:space="preserve">Value: Keeps team members informed of updates through multiple channels (in‑app, email, Slack), fostering collaboration and awareness.
Implementation risks: Notification fatigue and integration failures can reduce effectiveness; requires careful design of preferences and throttling.
Competitor examples: • Monday.com supports Slack notifications and email alerts
• Jira integrates with many third‑party messaging tools.
</t>
        </is>
      </c>
    </row>
    <row r="33" ht="118.75" customHeight="1" s="6">
      <c r="A33" s="5" t="inlineStr">
        <is>
          <t>Quality Assurance &amp; Testing Automation</t>
        </is>
      </c>
      <c r="B33" s="5" t="inlineStr">
        <is>
          <t>End‑to‑end test suite</t>
        </is>
      </c>
      <c r="C33" s="5" t="inlineStr">
        <is>
          <t>Automated tests for core workflows</t>
        </is>
      </c>
      <c r="D33" s="8" t="inlineStr">
        <is>
          <t>As a quality engineer, I want automated end‑to‑end tests covering core user flows so that regressions are detected early.</t>
        </is>
      </c>
      <c r="E33" s="5">
        <f>IF(COUNTIFS(Tasks!A:A,A33,Tasks!B:B,B33,Tasks!C:C,C33,Tasks!E:E,"Done")=COUNTIFS(Tasks!A:A,A33,Tasks!B:B,B33,Tasks!C:C,C33), "Done", IF(COUNTIFS(Tasks!A:A,A33,Tasks!B:B,B33,Tasks!C:C,C33,Tasks!E:E,"Done")=0, "Todo", "Partial"))</f>
        <v/>
      </c>
      <c r="F33" s="5" t="n">
        <v>44</v>
      </c>
      <c r="G33" s="5">
        <f>SUMIFS(Tasks!F:F, Tasks!A:A, A33, Tasks!B:B, B33, Tasks!C:C, C33)</f>
        <v/>
      </c>
      <c r="H33" s="5">
        <f>COUNTIFS(Tasks!A:A, A33, Tasks!B:B, B33, Tasks!C:C, C33)</f>
        <v/>
      </c>
      <c r="I33" s="8" t="inlineStr">
        <is>
          <t>1. A test suite uses Playwright or Selenium to simulate user interactions such as creating a project, adding activities, assigning users, completing sprints, recording timesheets and generating reports.
2. Tests run in a headless browser on continuous integration (CI) and produce detailed reports.
3. The suite includes tests for permission enforcement (e.g., ensuring a client cannot edit budgets).</t>
        </is>
      </c>
      <c r="J33" s="9" t="inlineStr">
        <is>
          <t xml:space="preserve">Value: Ensures consistent software quality by automating tests and static analysis, reducing defects and speeding up releases.
Implementation risks: Test flakiness and maintenance overhead; balancing test coverage against build times.
Competitor examples: • Many teams integrate tools like Selenium, Playwright or Cypress into CI pipelines alongside code quality tools (e.g., SonarQube).
</t>
        </is>
      </c>
    </row>
    <row r="34" ht="118.75" customHeight="1" s="6">
      <c r="A34" s="5" t="inlineStr">
        <is>
          <t>Quality Assurance &amp; Testing Automation</t>
        </is>
      </c>
      <c r="B34" s="5" t="inlineStr">
        <is>
          <t>Code quality and static analysis</t>
        </is>
      </c>
      <c r="C34" s="5" t="inlineStr">
        <is>
          <t>Enforce coding standards</t>
        </is>
      </c>
      <c r="D34" s="8" t="inlineStr">
        <is>
          <t>As a developer, I want automated checks for code style, complexity and security so that the codebase remains maintainable and secure.</t>
        </is>
      </c>
      <c r="E34" s="5">
        <f>IF(COUNTIFS(Tasks!A:A,A34,Tasks!B:B,B34,Tasks!C:C,C34,Tasks!E:E,"Done")=COUNTIFS(Tasks!A:A,A34,Tasks!B:B,B34,Tasks!C:C,C34), "Done", IF(COUNTIFS(Tasks!A:A,A34,Tasks!B:B,B34,Tasks!C:C,C34,Tasks!E:E,"Done")=0, "Todo", "Partial"))</f>
        <v/>
      </c>
      <c r="F34" s="5" t="n">
        <v>45</v>
      </c>
      <c r="G34" s="5">
        <f>SUMIFS(Tasks!F:F, Tasks!A:A, A34, Tasks!B:B, B34, Tasks!C:C, C34)</f>
        <v/>
      </c>
      <c r="H34" s="5">
        <f>COUNTIFS(Tasks!A:A, A34, Tasks!B:B, B34, Tasks!C:C, C34)</f>
        <v/>
      </c>
      <c r="I34" s="8" t="inlineStr">
        <is>
          <t>1. Static analysis tools (Checkstyle, PMD, SpotBugs, OWASP Dependency Check) are integrated into the build process.
2. The build fails if critical or high‑severity issues are found
warnings are reported and tracked.
3. A code coverage report shows unit test coverage
minimum thresholds are enforced.</t>
        </is>
      </c>
      <c r="J34" s="9" t="inlineStr">
        <is>
          <t xml:space="preserve">Value: Ensures consistent software quality by automating tests and static analysis, reducing defects and speeding up releases.
Implementation risks: Test flakiness and maintenance overhead; balancing test coverage against build times.
Competitor examples: • Many teams integrate tools like Selenium, Playwright or Cypress into CI pipelines alongside code quality tools (e.g., SonarQube).
</t>
        </is>
      </c>
    </row>
    <row r="35" ht="133.45" customHeight="1" s="6">
      <c r="A35" s="5" t="inlineStr">
        <is>
          <t>Internationalisation (I18n) &amp; Accessibility</t>
        </is>
      </c>
      <c r="B35" s="5" t="inlineStr">
        <is>
          <t>Internationalisation</t>
        </is>
      </c>
      <c r="C35" s="5" t="inlineStr">
        <is>
          <t>Support multiple languages</t>
        </is>
      </c>
      <c r="D35" s="8" t="inlineStr">
        <is>
          <t>As a user, I want to switch the UI language to my preferred language so that I can use Derbent in my native tongue.</t>
        </is>
      </c>
      <c r="E35" s="5">
        <f>IF(COUNTIFS(Tasks!A:A,A35,Tasks!B:B,B35,Tasks!C:C,C35,Tasks!E:E,"Done")=COUNTIFS(Tasks!A:A,A35,Tasks!B:B,B35,Tasks!C:C,C35), "Done", IF(COUNTIFS(Tasks!A:A,A35,Tasks!B:B,B35,Tasks!C:C,C35,Tasks!E:E,"Done")=0, "Todo", "Partial"))</f>
        <v/>
      </c>
      <c r="F35" s="5" t="n">
        <v>46</v>
      </c>
      <c r="G35" s="5">
        <f>SUMIFS(Tasks!F:F, Tasks!A:A, A35, Tasks!B:B, B35, Tasks!C:C, C35)</f>
        <v/>
      </c>
      <c r="H35" s="5">
        <f>COUNTIFS(Tasks!A:A, A35, Tasks!B:B, B35, Tasks!C:C, C35)</f>
        <v/>
      </c>
      <c r="I35" s="8" t="inlineStr">
        <is>
          <t>1. The application supports translation of all UI strings using message bundles.  Default language is English
additional languages can be added via properties files (e.g., `messages_tr.properties`).
2. Users can select their preferred language in their profile settings.  The choice persists across sessions.
3. Date and number formats respect the user’s locale (e.g., dd/MM/yyyy for Europe/Istanbul).</t>
        </is>
      </c>
      <c r="J35" s="9" t="inlineStr">
        <is>
          <t xml:space="preserve">Value: Extends Derbent’s reach globally and ensures usability for people with disabilities, aligning with legal and ethical standards.
Implementation risks: Translation management, design adaptation for different languages and implementing accessibility guidelines can be time‑consuming.
Competitor examples: • Jira and Monday.com support multiple languages and provide accessible themes
• compliance with WCAG 2.1 AA is a requirement in many regions.
</t>
        </is>
      </c>
    </row>
    <row r="36" ht="133.45" customHeight="1" s="6">
      <c r="A36" s="5" t="inlineStr">
        <is>
          <t>Internationalisation (I18n) &amp; Accessibility</t>
        </is>
      </c>
      <c r="B36" s="5" t="inlineStr">
        <is>
          <t>Accessibility (a11y)</t>
        </is>
      </c>
      <c r="C36" s="5" t="inlineStr">
        <is>
          <t>Ensure compliance with accessibility standards</t>
        </is>
      </c>
      <c r="D36" s="8" t="inlineStr">
        <is>
          <t>As a user with disabilities, I want Derbent to meet WCAG 2.1 AA standards so that I can use the application without barriers.</t>
        </is>
      </c>
      <c r="E36" s="5">
        <f>IF(COUNTIFS(Tasks!A:A,A36,Tasks!B:B,B36,Tasks!C:C,C36,Tasks!E:E,"Done")=COUNTIFS(Tasks!A:A,A36,Tasks!B:B,B36,Tasks!C:C,C36), "Done", IF(COUNTIFS(Tasks!A:A,A36,Tasks!B:B,B36,Tasks!C:C,C36,Tasks!E:E,"Done")=0, "Todo", "Partial"))</f>
        <v/>
      </c>
      <c r="F36" s="5" t="n">
        <v>47</v>
      </c>
      <c r="G36" s="5">
        <f>SUMIFS(Tasks!F:F, Tasks!A:A, A36, Tasks!B:B, B36, Tasks!C:C, C36)</f>
        <v/>
      </c>
      <c r="H36" s="5">
        <f>COUNTIFS(Tasks!A:A, A36, Tasks!B:B, B36, Tasks!C:C, C36)</f>
        <v/>
      </c>
      <c r="I36" s="8" t="inlineStr">
        <is>
          <t>1. All pages support screen readers with appropriate ARIA labels and keyboard navigation.
2. Colour contrast meets guidelines
users can enable a high‑contrast theme.
3. Forms include labels and error messages accessible by screen readers.</t>
        </is>
      </c>
      <c r="J36" s="9" t="inlineStr">
        <is>
          <t xml:space="preserve">Value: Extends Derbent’s reach globally and ensures usability for people with disabilities, aligning with legal and ethical standards.
Implementation risks: Translation management, design adaptation for different languages and implementing accessibility guidelines can be time‑consuming.
Competitor examples: • Jira and Monday.com support multiple languages and provide accessible themes
• compliance with WCAG 2.1 AA is a requirement in many regions.
</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5" activeCellId="0" sqref="F5"/>
    </sheetView>
  </sheetViews>
  <sheetFormatPr baseColWidth="8" defaultColWidth="8.3046875" defaultRowHeight="15" customHeight="1" zeroHeight="0" outlineLevelRow="0"/>
  <cols>
    <col width="33.92" customWidth="1" style="5" min="1" max="1"/>
    <col width="43.22" customWidth="1" style="5" min="2" max="2"/>
    <col width="38.57" customWidth="1" style="5" min="3" max="3"/>
    <col width="22.44" customWidth="1" style="5" min="4" max="4"/>
    <col width="7.9" customWidth="1" style="5" min="5" max="5"/>
    <col width="12.79" customWidth="1" style="5" min="6" max="6"/>
    <col width="82.41" customWidth="1" style="5" min="7" max="7"/>
  </cols>
  <sheetData>
    <row r="1" ht="15" customHeight="1" s="6">
      <c r="A1" s="7" t="inlineStr">
        <is>
          <t>Epic</t>
        </is>
      </c>
      <c r="B1" s="7" t="inlineStr">
        <is>
          <t>Feature</t>
        </is>
      </c>
      <c r="C1" s="7" t="inlineStr">
        <is>
          <t>User Story</t>
        </is>
      </c>
      <c r="D1" s="7" t="inlineStr">
        <is>
          <t>Task Title</t>
        </is>
      </c>
      <c r="E1" s="7" t="inlineStr">
        <is>
          <t>Status</t>
        </is>
      </c>
      <c r="F1" s="7" t="inlineStr">
        <is>
          <t>Story Points</t>
        </is>
      </c>
      <c r="G1" s="7" t="inlineStr">
        <is>
          <t>Task Description</t>
        </is>
      </c>
    </row>
    <row r="2" ht="89.45" customHeight="1" s="6">
      <c r="A2" s="5" t="inlineStr">
        <is>
          <t>Document &amp; Attachment Management</t>
        </is>
      </c>
      <c r="B2" s="5" t="inlineStr">
        <is>
          <t>File storage infrastructure</t>
        </is>
      </c>
      <c r="C2" s="5" t="inlineStr">
        <is>
          <t>Upload and download documents</t>
        </is>
      </c>
      <c r="D2" s="5" t="inlineStr">
        <is>
          <t>Storage service:</t>
        </is>
      </c>
      <c r="E2" s="5" t="inlineStr">
        <is>
          <t>Todo</t>
        </is>
      </c>
      <c r="F2" s="5" t="n">
        <v>2</v>
      </c>
      <c r="G2" s="8" t="inlineStr">
        <is>
          <t>Design an interface `CAttachmentStorage` with methods `upload`, `download`, `delete`.  Provide a default implementation using the database (e.g., storing base64 content) and allow configuration for external storage providers.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3" ht="133.45" customHeight="1" s="6">
      <c r="A3" s="5" t="inlineStr">
        <is>
          <t>Document &amp; Attachment Management</t>
        </is>
      </c>
      <c r="B3" s="5" t="inlineStr">
        <is>
          <t>File storage infrastructure</t>
        </is>
      </c>
      <c r="C3" s="5" t="inlineStr">
        <is>
          <t>Upload and download documents</t>
        </is>
      </c>
      <c r="D3" s="5" t="inlineStr">
        <is>
          <t>Entity &amp; service:</t>
        </is>
      </c>
      <c r="E3" s="5" t="inlineStr">
        <is>
          <t>Todo</t>
        </is>
      </c>
      <c r="F3" s="5" t="n">
        <v>3</v>
      </c>
      <c r="G3" s="8" t="inlineStr">
        <is>
          <t>Create `CAttachment` entity (`CEntityOfProject`) with fields as described.  Add `CAttachmentService` and repository for CRUD operations.  Add relationships from `CProject`, `CActivity`, `CRisk`, `CSprint` and `CMeeting` to `CAttachment` via `@OneToMany` associations.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4" ht="118.75" customHeight="1" s="6">
      <c r="A4" s="5" t="inlineStr">
        <is>
          <t>Document &amp; Attachment Management</t>
        </is>
      </c>
      <c r="B4" s="5" t="inlineStr">
        <is>
          <t>File storage infrastructure</t>
        </is>
      </c>
      <c r="C4" s="5" t="inlineStr">
        <is>
          <t>Upload and download documents</t>
        </is>
      </c>
      <c r="D4" s="5" t="inlineStr">
        <is>
          <t>UI component:</t>
        </is>
      </c>
      <c r="E4" s="5" t="inlineStr">
        <is>
          <t>Todo</t>
        </is>
      </c>
      <c r="F4" s="5" t="n">
        <v>2</v>
      </c>
      <c r="G4" s="8" t="inlineStr">
        <is>
          <t>Build a reusable Vaadin component `CAttachmentUploader` for drag‑and‑drop upload with progress bars and validations.  Use Vaadin’s `Upload` component and store files via `CAttachmentService`.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5" ht="74.8" customHeight="1" s="6">
      <c r="A5" s="5" t="inlineStr">
        <is>
          <t>Document &amp; Attachment Management</t>
        </is>
      </c>
      <c r="B5" s="5" t="inlineStr">
        <is>
          <t>File storage infrastructure</t>
        </is>
      </c>
      <c r="C5" s="5" t="inlineStr">
        <is>
          <t>Upload and download documents</t>
        </is>
      </c>
      <c r="D5" s="5" t="inlineStr">
        <is>
          <t>Views integration:</t>
        </is>
      </c>
      <c r="E5" s="5" t="inlineStr">
        <is>
          <t>Todo</t>
        </is>
      </c>
      <c r="F5" s="5" t="n">
        <v>2</v>
      </c>
      <c r="G5" s="8" t="inlineStr">
        <is>
          <t>Embed `CAttachmentUploader` and attachment lists into the pages for projects, activities, meetings and risks.  Provide actions to download or delete attachments. Steps: Create a Vaadin page extending the appropriate abstract page. Inject services via the constructor. Bind fields using `Binder` and set up validation. Build responsive layouts and configure grids. Add tests for the UI using Playwright or TestBench.</t>
        </is>
      </c>
    </row>
    <row r="6" ht="133.45" customHeight="1" s="6">
      <c r="A6" s="5" t="inlineStr">
        <is>
          <t>Document &amp; Attachment Management</t>
        </is>
      </c>
      <c r="B6" s="5" t="inlineStr">
        <is>
          <t>File storage infrastructure</t>
        </is>
      </c>
      <c r="C6" s="5" t="inlineStr">
        <is>
          <t>Upload and download documents</t>
        </is>
      </c>
      <c r="D6" s="5" t="inlineStr">
        <is>
          <t>Tests:</t>
        </is>
      </c>
      <c r="E6" s="5" t="inlineStr">
        <is>
          <t>Todo</t>
        </is>
      </c>
      <c r="F6" s="5" t="n">
        <v>3</v>
      </c>
      <c r="G6" s="8" t="inlineStr">
        <is>
          <t>Unit tests for storage and service; UI tests for file upload and download functions.  Ensure large file handling and error messages for unsupported types.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7" ht="30.8" customHeight="1" s="6">
      <c r="A7" s="5" t="inlineStr">
        <is>
          <t>Document &amp; Attachment Management</t>
        </is>
      </c>
      <c r="B7" s="5" t="inlineStr">
        <is>
          <t>File storage infrastructure</t>
        </is>
      </c>
      <c r="C7" s="5" t="inlineStr">
        <is>
          <t>Upload and download documents</t>
        </is>
      </c>
      <c r="D7" s="5" t="inlineStr">
        <is>
          <t>Documentation:</t>
        </is>
      </c>
      <c r="E7" s="5" t="inlineStr">
        <is>
          <t>Todo</t>
        </is>
      </c>
      <c r="F7" s="5" t="n">
        <v>1</v>
      </c>
      <c r="G7" s="8" t="inlineStr">
        <is>
          <t>Document how to attach files and manage attachments and how to configure external storage. Steps: Update documentation to reflect new features. Add code samples and usage examples.</t>
        </is>
      </c>
    </row>
    <row r="8" ht="74.8" customHeight="1" s="6">
      <c r="A8" s="5" t="inlineStr">
        <is>
          <t>Document &amp; Attachment Management</t>
        </is>
      </c>
      <c r="B8" s="5" t="inlineStr">
        <is>
          <t>Document preview &amp; versioning</t>
        </is>
      </c>
      <c r="C8" s="5" t="inlineStr">
        <is>
          <t>Preview common document types</t>
        </is>
      </c>
      <c r="D8" s="5" t="inlineStr">
        <is>
          <t>Preview component:</t>
        </is>
      </c>
      <c r="E8" s="5" t="inlineStr">
        <is>
          <t>Todo</t>
        </is>
      </c>
      <c r="F8" s="5" t="n">
        <v>2</v>
      </c>
      <c r="G8" s="8" t="inlineStr">
        <is>
          <t>Develop `CAttachmentPreview` component using Vaadin’s `Image` and `PdfViewer` components.  Integrate with `CAttachment` metadata to determine file type. Steps: Create a Vaadin page extending the appropriate abstract page. Inject services via the constructor. Bind fields using `Binder` and set up validation. Build responsive layouts and configure grids. Add tests for the UI using Playwright or TestBench.</t>
        </is>
      </c>
    </row>
    <row r="9" ht="60.15" customHeight="1" s="6">
      <c r="A9" s="5" t="inlineStr">
        <is>
          <t>Document &amp; Attachment Management</t>
        </is>
      </c>
      <c r="B9" s="5" t="inlineStr">
        <is>
          <t>Document preview &amp; versioning</t>
        </is>
      </c>
      <c r="C9" s="5" t="inlineStr">
        <is>
          <t>Preview common document types</t>
        </is>
      </c>
      <c r="D9" s="5" t="inlineStr">
        <is>
          <t>UI integration:</t>
        </is>
      </c>
      <c r="E9" s="5" t="inlineStr">
        <is>
          <t>Todo</t>
        </is>
      </c>
      <c r="F9" s="5" t="n">
        <v>2</v>
      </c>
      <c r="G9" s="8" t="inlineStr">
        <is>
          <t>Add preview buttons or click actions in attachment lists to open a modal preview. Steps: Create a Vaadin page extending the appropriate abstract page. Inject services via the constructor. Bind fields using `Binder` and set up validation. Build responsive layouts and configure grids. Add tests for the UI using Playwright or TestBench.</t>
        </is>
      </c>
    </row>
    <row r="10" ht="74.8" customHeight="1" s="6">
      <c r="A10" s="5" t="inlineStr">
        <is>
          <t>Document &amp; Attachment Management</t>
        </is>
      </c>
      <c r="B10" s="5" t="inlineStr">
        <is>
          <t>Document preview &amp; versioning</t>
        </is>
      </c>
      <c r="C10" s="5" t="inlineStr">
        <is>
          <t>Preview common document types</t>
        </is>
      </c>
      <c r="D10" s="5" t="inlineStr">
        <is>
          <t>Tests:</t>
        </is>
      </c>
      <c r="E10" s="5" t="inlineStr">
        <is>
          <t>Todo</t>
        </is>
      </c>
      <c r="F10" s="5" t="n">
        <v>2</v>
      </c>
      <c r="G10" s="8" t="inlineStr">
        <is>
          <t>UI tests for preview functionality; performance tests for large files.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1" ht="60.15" customHeight="1" s="6">
      <c r="A11" s="5" t="inlineStr">
        <is>
          <t>Document &amp; Attachment Management</t>
        </is>
      </c>
      <c r="B11" s="5" t="inlineStr">
        <is>
          <t>Document preview &amp; versioning</t>
        </is>
      </c>
      <c r="C11" s="5" t="inlineStr">
        <is>
          <t>Preview common document types</t>
        </is>
      </c>
      <c r="D11" s="5" t="inlineStr">
        <is>
          <t>Documentation:</t>
        </is>
      </c>
      <c r="E11" s="5" t="inlineStr">
        <is>
          <t>Todo</t>
        </is>
      </c>
      <c r="F11" s="5" t="n">
        <v>2</v>
      </c>
      <c r="G11" s="8" t="inlineStr">
        <is>
          <t>Explain supported preview types and limitations.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12" ht="118.75" customHeight="1" s="6">
      <c r="A12" s="5" t="inlineStr">
        <is>
          <t>Document &amp; Attachment Management</t>
        </is>
      </c>
      <c r="B12" s="5" t="inlineStr">
        <is>
          <t>Document preview &amp; versioning</t>
        </is>
      </c>
      <c r="C12" s="5" t="inlineStr">
        <is>
          <t>Maintain version history</t>
        </is>
      </c>
      <c r="D12" s="5" t="inlineStr">
        <is>
          <t>Entity changes:</t>
        </is>
      </c>
      <c r="E12" s="5" t="inlineStr">
        <is>
          <t>Todo</t>
        </is>
      </c>
      <c r="F12" s="5" t="n">
        <v>2</v>
      </c>
      <c r="G12" s="8" t="inlineStr">
        <is>
          <t>Add fields `versionNumber` and `previousVersionId` to `CAttachment`.  Implement logic in `CAttachmentService` to create new versions instead of replacing files.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13" ht="60.15" customHeight="1" s="6">
      <c r="A13" s="5" t="inlineStr">
        <is>
          <t>Document &amp; Attachment Management</t>
        </is>
      </c>
      <c r="B13" s="5" t="inlineStr">
        <is>
          <t>Document preview &amp; versioning</t>
        </is>
      </c>
      <c r="C13" s="5" t="inlineStr">
        <is>
          <t>Maintain version history</t>
        </is>
      </c>
      <c r="D13" s="5" t="inlineStr">
        <is>
          <t>UI updates:</t>
        </is>
      </c>
      <c r="E13" s="5" t="inlineStr">
        <is>
          <t>Todo</t>
        </is>
      </c>
      <c r="F13" s="5" t="n">
        <v>2</v>
      </c>
      <c r="G13" s="8" t="inlineStr">
        <is>
          <t>Expand attachment lists to include version history; add actions to restore or delete versions (depending on permissions). Steps: Create a Vaadin page extending the appropriate abstract page. Inject services via the constructor. Bind fields using `Binder` and set up validation. Build responsive layouts and configure grids. Add tests for the UI using Playwright or TestBench.</t>
        </is>
      </c>
    </row>
    <row r="14" ht="74.8" customHeight="1" s="6">
      <c r="A14" s="5" t="inlineStr">
        <is>
          <t>Document &amp; Attachment Management</t>
        </is>
      </c>
      <c r="B14" s="5" t="inlineStr">
        <is>
          <t>Document preview &amp; versioning</t>
        </is>
      </c>
      <c r="C14" s="5" t="inlineStr">
        <is>
          <t>Maintain version history</t>
        </is>
      </c>
      <c r="D14" s="5" t="inlineStr">
        <is>
          <t>Tests:</t>
        </is>
      </c>
      <c r="E14" s="5" t="inlineStr">
        <is>
          <t>Todo</t>
        </is>
      </c>
      <c r="F14" s="5" t="n">
        <v>2</v>
      </c>
      <c r="G14" s="8" t="inlineStr">
        <is>
          <t>Unit tests for version creation and retrieval; UI tests for version list interactions.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5" ht="30.8" customHeight="1" s="6">
      <c r="A15" s="5" t="inlineStr">
        <is>
          <t>Document &amp; Attachment Management</t>
        </is>
      </c>
      <c r="B15" s="5" t="inlineStr">
        <is>
          <t>Document preview &amp; versioning</t>
        </is>
      </c>
      <c r="C15" s="5" t="inlineStr">
        <is>
          <t>Maintain version history</t>
        </is>
      </c>
      <c r="D15" s="5" t="inlineStr">
        <is>
          <t>Documentation:</t>
        </is>
      </c>
      <c r="E15" s="5" t="inlineStr">
        <is>
          <t>Todo</t>
        </is>
      </c>
      <c r="F15" s="5" t="n">
        <v>1</v>
      </c>
      <c r="G15" s="8" t="inlineStr">
        <is>
          <t>Add instructions on how to upload new versions and access history. Steps: Update documentation to reflect new features. Add code samples and usage examples.</t>
        </is>
      </c>
    </row>
    <row r="16" ht="118.75" customHeight="1" s="6">
      <c r="A16" s="5" t="inlineStr">
        <is>
          <t>Reporting &amp; Analytics</t>
        </is>
      </c>
      <c r="B16" s="5" t="inlineStr">
        <is>
          <t>Agile metrics dashboard</t>
        </is>
      </c>
      <c r="C16" s="5" t="inlineStr">
        <is>
          <t>View sprint burndown and velocity charts</t>
        </is>
      </c>
      <c r="D16" s="5" t="inlineStr">
        <is>
          <t>Chart service:</t>
        </is>
      </c>
      <c r="E16" s="5" t="inlineStr">
        <is>
          <t>Todo</t>
        </is>
      </c>
      <c r="F16" s="5" t="n">
        <v>2</v>
      </c>
      <c r="G16" s="8" t="inlineStr">
        <is>
          <t>Build `CAgileMetricsService` to compute burndown data (dates vs. remaining story points) and velocity data.  Use data from `CSprint`, `CActivity` and `CTimesheetEntry` (once implemented).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7" ht="30.8" customHeight="1" s="6">
      <c r="A17" s="5" t="inlineStr">
        <is>
          <t>Reporting &amp; Analytics</t>
        </is>
      </c>
      <c r="B17" s="5" t="inlineStr">
        <is>
          <t>Agile metrics dashboard</t>
        </is>
      </c>
      <c r="C17" s="5" t="inlineStr">
        <is>
          <t>View sprint burndown and velocity charts</t>
        </is>
      </c>
      <c r="D17" s="5" t="inlineStr">
        <is>
          <t>Chart components:</t>
        </is>
      </c>
      <c r="E17" s="5" t="inlineStr">
        <is>
          <t>Todo</t>
        </is>
      </c>
      <c r="F17" s="5" t="n">
        <v>1</v>
      </c>
      <c r="G17" s="8" t="inlineStr">
        <is>
          <t>Create `CBurndownChart` and `CVelocityChart` components using Vaadin Charts.  Support exporting via Vaadin chart export features.</t>
        </is>
      </c>
    </row>
    <row r="18" ht="74.8" customHeight="1" s="6">
      <c r="A18" s="5" t="inlineStr">
        <is>
          <t>Reporting &amp; Analytics</t>
        </is>
      </c>
      <c r="B18" s="5" t="inlineStr">
        <is>
          <t>Agile metrics dashboard</t>
        </is>
      </c>
      <c r="C18" s="5" t="inlineStr">
        <is>
          <t>View sprint burndown and velocity charts</t>
        </is>
      </c>
      <c r="D18" s="5" t="inlineStr">
        <is>
          <t>UI integration:</t>
        </is>
      </c>
      <c r="E18" s="5" t="inlineStr">
        <is>
          <t>Todo</t>
        </is>
      </c>
      <c r="F18" s="5" t="n">
        <v>2</v>
      </c>
      <c r="G18" s="8" t="inlineStr">
        <is>
          <t>Embed charts in `CSprintPage` and provide a separate `CAgileDashboardPage` that aggregates metrics across multiple sprints and projects.  Provide date range filters. Steps: Create a Vaadin page extending the appropriate abstract page. Inject services via the constructor. Bind fields using `Binder` and set up validation. Build responsive layouts and configure grids. Add tests for the UI using Playwright or TestBench.</t>
        </is>
      </c>
    </row>
    <row r="19" ht="74.8" customHeight="1" s="6">
      <c r="A19" s="5" t="inlineStr">
        <is>
          <t>Reporting &amp; Analytics</t>
        </is>
      </c>
      <c r="B19" s="5" t="inlineStr">
        <is>
          <t>Agile metrics dashboard</t>
        </is>
      </c>
      <c r="C19" s="5" t="inlineStr">
        <is>
          <t>View sprint burndown and velocity charts</t>
        </is>
      </c>
      <c r="D19" s="5" t="inlineStr">
        <is>
          <t>Tests:</t>
        </is>
      </c>
      <c r="E19" s="5" t="inlineStr">
        <is>
          <t>Todo</t>
        </is>
      </c>
      <c r="F19" s="5" t="n">
        <v>2</v>
      </c>
      <c r="G19" s="8" t="inlineStr">
        <is>
          <t>Unit tests for chart data calculations; UI tests for chart rendering.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20" ht="30.8" customHeight="1" s="6">
      <c r="A20" s="5" t="inlineStr">
        <is>
          <t>Reporting &amp; Analytics</t>
        </is>
      </c>
      <c r="B20" s="5" t="inlineStr">
        <is>
          <t>Agile metrics dashboard</t>
        </is>
      </c>
      <c r="C20" s="5" t="inlineStr">
        <is>
          <t>View sprint burndown and velocity charts</t>
        </is>
      </c>
      <c r="D20" s="5" t="inlineStr">
        <is>
          <t>Documentation:</t>
        </is>
      </c>
      <c r="E20" s="5" t="inlineStr">
        <is>
          <t>Todo</t>
        </is>
      </c>
      <c r="F20" s="5" t="n">
        <v>1</v>
      </c>
      <c r="G20" s="8" t="inlineStr">
        <is>
          <t>Describe how to interpret burndown and velocity charts. Steps: Update documentation to reflect new features. Add code samples and usage examples.</t>
        </is>
      </c>
    </row>
    <row r="21" ht="74.8" customHeight="1" s="6">
      <c r="A21" s="5" t="inlineStr">
        <is>
          <t>Reporting &amp; Analytics</t>
        </is>
      </c>
      <c r="B21" s="5" t="inlineStr">
        <is>
          <t>Financial and resource reports</t>
        </is>
      </c>
      <c r="C21" s="5" t="inlineStr">
        <is>
          <t>Generate financial performance reports</t>
        </is>
      </c>
      <c r="D21" s="5" t="inlineStr">
        <is>
          <t>Report service:</t>
        </is>
      </c>
      <c r="E21" s="5" t="inlineStr">
        <is>
          <t>Todo</t>
        </is>
      </c>
      <c r="F21" s="5" t="n">
        <v>2</v>
      </c>
      <c r="G21" s="8" t="inlineStr">
        <is>
          <t>Implement `CFinanceReportService` that aggregates data from budgets, incomes, expenses and timesheets.  Provide APIs to generate summary and detailed reports.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22" ht="60.15" customHeight="1" s="6">
      <c r="A22" s="5" t="inlineStr">
        <is>
          <t>Reporting &amp; Analytics</t>
        </is>
      </c>
      <c r="B22" s="5" t="inlineStr">
        <is>
          <t>Financial and resource reports</t>
        </is>
      </c>
      <c r="C22" s="5" t="inlineStr">
        <is>
          <t>Generate financial performance reports</t>
        </is>
      </c>
      <c r="D22" s="5" t="inlineStr">
        <is>
          <t>UI pages:</t>
        </is>
      </c>
      <c r="E22" s="5" t="inlineStr">
        <is>
          <t>Todo</t>
        </is>
      </c>
      <c r="F22" s="5" t="n">
        <v>2</v>
      </c>
      <c r="G22" s="8" t="inlineStr">
        <is>
          <t>Create `CFinanceDashboardPage` showing aggregated tables and charts.  Provide filters by date range and project.  Include export buttons. Steps: Create a Vaadin page extending the appropriate abstract page. Inject services via the constructor. Bind fields using `Binder` and set up validation. Build responsive layouts and configure grids. Add tests for the UI using Playwright or TestBench.</t>
        </is>
      </c>
    </row>
    <row r="23" ht="74.8" customHeight="1" s="6">
      <c r="A23" s="5" t="inlineStr">
        <is>
          <t>Reporting &amp; Analytics</t>
        </is>
      </c>
      <c r="B23" s="5" t="inlineStr">
        <is>
          <t>Financial and resource reports</t>
        </is>
      </c>
      <c r="C23" s="5" t="inlineStr">
        <is>
          <t>Generate financial performance reports</t>
        </is>
      </c>
      <c r="D23" s="5" t="inlineStr">
        <is>
          <t>Tests:</t>
        </is>
      </c>
      <c r="E23" s="5" t="inlineStr">
        <is>
          <t>Todo</t>
        </is>
      </c>
      <c r="F23" s="5" t="n">
        <v>2</v>
      </c>
      <c r="G23" s="8" t="inlineStr">
        <is>
          <t>Unit tests for financial aggregation; UI tests for report generation and export.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24" ht="30.8" customHeight="1" s="6">
      <c r="A24" s="5" t="inlineStr">
        <is>
          <t>Reporting &amp; Analytics</t>
        </is>
      </c>
      <c r="B24" s="5" t="inlineStr">
        <is>
          <t>Financial and resource reports</t>
        </is>
      </c>
      <c r="C24" s="5" t="inlineStr">
        <is>
          <t>Generate financial performance reports</t>
        </is>
      </c>
      <c r="D24" s="5" t="inlineStr">
        <is>
          <t>Documentation:</t>
        </is>
      </c>
      <c r="E24" s="5" t="inlineStr">
        <is>
          <t>Todo</t>
        </is>
      </c>
      <c r="F24" s="5" t="n">
        <v>1</v>
      </c>
      <c r="G24" s="8" t="inlineStr">
        <is>
          <t>Document how to access financial reports and interpret results. Steps: Update documentation to reflect new features. Add code samples and usage examples.</t>
        </is>
      </c>
    </row>
    <row r="25" ht="60.15" customHeight="1" s="6">
      <c r="A25" s="5" t="inlineStr">
        <is>
          <t>Reporting &amp; Analytics</t>
        </is>
      </c>
      <c r="B25" s="5" t="inlineStr">
        <is>
          <t>Financial and resource reports</t>
        </is>
      </c>
      <c r="C25" s="5" t="inlineStr">
        <is>
          <t>View resource utilisation reports</t>
        </is>
      </c>
      <c r="D25" s="5" t="inlineStr">
        <is>
          <t>Utilisation calculations:</t>
        </is>
      </c>
      <c r="E25" s="5" t="inlineStr">
        <is>
          <t>Todo</t>
        </is>
      </c>
      <c r="F25" s="5" t="n">
        <v>2</v>
      </c>
      <c r="G25" s="8" t="inlineStr">
        <is>
          <t>Extend `CResourceService` to compute utilisation metrics using data from `CTimesheetEntry` and assignments.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26" ht="60.15" customHeight="1" s="6">
      <c r="A26" s="5" t="inlineStr">
        <is>
          <t>Reporting &amp; Analytics</t>
        </is>
      </c>
      <c r="B26" s="5" t="inlineStr">
        <is>
          <t>Financial and resource reports</t>
        </is>
      </c>
      <c r="C26" s="5" t="inlineStr">
        <is>
          <t>View resource utilisation reports</t>
        </is>
      </c>
      <c r="D26" s="5" t="inlineStr">
        <is>
          <t>UI page:</t>
        </is>
      </c>
      <c r="E26" s="5" t="inlineStr">
        <is>
          <t>Todo</t>
        </is>
      </c>
      <c r="F26" s="5" t="n">
        <v>2</v>
      </c>
      <c r="G26" s="8" t="inlineStr">
        <is>
          <t>Create `CResourceUtilisationPage` with a grid and a bar chart.  Provide filters and forecasting options. Steps: Create a Vaadin page extending the appropriate abstract page. Inject services via the constructor. Bind fields using `Binder` and set up validation. Build responsive layouts and configure grids. Add tests for the UI using Playwright or TestBench.</t>
        </is>
      </c>
    </row>
    <row r="27" ht="74.8" customHeight="1" s="6">
      <c r="A27" s="5" t="inlineStr">
        <is>
          <t>Reporting &amp; Analytics</t>
        </is>
      </c>
      <c r="B27" s="5" t="inlineStr">
        <is>
          <t>Financial and resource reports</t>
        </is>
      </c>
      <c r="C27" s="5" t="inlineStr">
        <is>
          <t>View resource utilisation reports</t>
        </is>
      </c>
      <c r="D27" s="5" t="inlineStr">
        <is>
          <t>Tests:</t>
        </is>
      </c>
      <c r="E27" s="5" t="inlineStr">
        <is>
          <t>Todo</t>
        </is>
      </c>
      <c r="F27" s="5" t="n">
        <v>2</v>
      </c>
      <c r="G27" s="8" t="inlineStr">
        <is>
          <t>Unit tests for calculation; UI tests for the report page.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28" ht="74.8" customHeight="1" s="6">
      <c r="A28" s="5" t="inlineStr">
        <is>
          <t>Reporting &amp; Analytics</t>
        </is>
      </c>
      <c r="B28" s="5" t="inlineStr">
        <is>
          <t>Financial and resource reports</t>
        </is>
      </c>
      <c r="C28" s="5" t="inlineStr">
        <is>
          <t>View resource utilisation reports</t>
        </is>
      </c>
      <c r="D28" s="5" t="inlineStr">
        <is>
          <t>Documentation:</t>
        </is>
      </c>
      <c r="E28" s="5" t="inlineStr">
        <is>
          <t>Todo</t>
        </is>
      </c>
      <c r="F28" s="5" t="n">
        <v>2</v>
      </c>
      <c r="G28" s="8" t="inlineStr">
        <is>
          <t>Provide guidelines on balancing utilisation and using the report to identify bottlenecks.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29" ht="60.15" customHeight="1" s="6">
      <c r="A29" s="5" t="inlineStr">
        <is>
          <t>Reporting &amp; Analytics</t>
        </is>
      </c>
      <c r="B29" s="5" t="inlineStr">
        <is>
          <t>Custom report builder</t>
        </is>
      </c>
      <c r="C29" s="5" t="inlineStr">
        <is>
          <t>Build custom reports with a query UI</t>
        </is>
      </c>
      <c r="D29" s="5" t="inlineStr">
        <is>
          <t>Data abstraction layer:</t>
        </is>
      </c>
      <c r="E29" s="5" t="inlineStr">
        <is>
          <t>Todo</t>
        </is>
      </c>
      <c r="F29" s="5" t="n">
        <v>2</v>
      </c>
      <c r="G29" s="8" t="inlineStr">
        <is>
          <t>Develop a generic query builder API that maps high‑level selections to JPA criteria queries.  Ensure safe filtering and sorting. Steps: Create a Vaadin page extending the appropriate abstract page. Inject services via the constructor. Bind fields using `Binder` and set up validation. Build responsive layouts and configure grids. Add tests for the UI using Playwright or TestBench.</t>
        </is>
      </c>
    </row>
    <row r="30" ht="104.1" customHeight="1" s="6">
      <c r="A30" s="5" t="inlineStr">
        <is>
          <t>Reporting &amp; Analytics</t>
        </is>
      </c>
      <c r="B30" s="5" t="inlineStr">
        <is>
          <t>Custom report builder</t>
        </is>
      </c>
      <c r="C30" s="5" t="inlineStr">
        <is>
          <t>Build custom reports with a query UI</t>
        </is>
      </c>
      <c r="D30" s="5" t="inlineStr">
        <is>
          <t>UI wizard:</t>
        </is>
      </c>
      <c r="E30" s="5" t="inlineStr">
        <is>
          <t>Todo</t>
        </is>
      </c>
      <c r="F30" s="5" t="n">
        <v>2</v>
      </c>
      <c r="G30" s="8" t="inlineStr">
        <is>
          <t>Create a Vaadin multi‑step wizard with dynamic forms that lists available entities and fields.  Use reflection or metadata to populate options.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is>
      </c>
    </row>
    <row r="31" ht="74.8" customHeight="1" s="6">
      <c r="A31" s="5" t="inlineStr">
        <is>
          <t>Reporting &amp; Analytics</t>
        </is>
      </c>
      <c r="B31" s="5" t="inlineStr">
        <is>
          <t>Custom report builder</t>
        </is>
      </c>
      <c r="C31" s="5" t="inlineStr">
        <is>
          <t>Build custom reports with a query UI</t>
        </is>
      </c>
      <c r="D31" s="5" t="inlineStr">
        <is>
          <t>Report rendering:</t>
        </is>
      </c>
      <c r="E31" s="5" t="inlineStr">
        <is>
          <t>Todo</t>
        </is>
      </c>
      <c r="F31" s="5" t="n">
        <v>2</v>
      </c>
      <c r="G31" s="8" t="inlineStr">
        <is>
          <t>Use Vaadin Charts and Grids to present the data.  Provide a save/share mechanism, storing report definitions in a new entity `CReportDefinition`.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is>
      </c>
    </row>
    <row r="32" ht="74.8" customHeight="1" s="6">
      <c r="A32" s="5" t="inlineStr">
        <is>
          <t>Reporting &amp; Analytics</t>
        </is>
      </c>
      <c r="B32" s="5" t="inlineStr">
        <is>
          <t>Custom report builder</t>
        </is>
      </c>
      <c r="C32" s="5" t="inlineStr">
        <is>
          <t>Build custom reports with a query UI</t>
        </is>
      </c>
      <c r="D32" s="5" t="inlineStr">
        <is>
          <t>Tests:</t>
        </is>
      </c>
      <c r="E32" s="5" t="inlineStr">
        <is>
          <t>Todo</t>
        </is>
      </c>
      <c r="F32" s="5" t="n">
        <v>2</v>
      </c>
      <c r="G32" s="8" t="inlineStr">
        <is>
          <t>Integration tests for query generation; UI tests for the wizard and saving reports.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33" ht="60.15" customHeight="1" s="6">
      <c r="A33" s="5" t="inlineStr">
        <is>
          <t>Reporting &amp; Analytics</t>
        </is>
      </c>
      <c r="B33" s="5" t="inlineStr">
        <is>
          <t>Custom report builder</t>
        </is>
      </c>
      <c r="C33" s="5" t="inlineStr">
        <is>
          <t>Build custom reports with a query UI</t>
        </is>
      </c>
      <c r="D33" s="5" t="inlineStr">
        <is>
          <t>Documentation:</t>
        </is>
      </c>
      <c r="E33" s="5" t="inlineStr">
        <is>
          <t>Todo</t>
        </is>
      </c>
      <c r="F33" s="5" t="n">
        <v>2</v>
      </c>
      <c r="G33" s="8" t="inlineStr">
        <is>
          <t>Provide a tutorial on using the custom report builder.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34" ht="74.8" customHeight="1" s="6">
      <c r="A34" s="5" t="inlineStr">
        <is>
          <t>Portfolio &amp; Program Management</t>
        </is>
      </c>
      <c r="B34" s="5" t="inlineStr">
        <is>
          <t>Portfolio and program entities</t>
        </is>
      </c>
      <c r="C34" s="5" t="inlineStr">
        <is>
          <t>Create portfolios and programs</t>
        </is>
      </c>
      <c r="D34" s="5" t="inlineStr">
        <is>
          <t>Entities:</t>
        </is>
      </c>
      <c r="E34" s="5" t="inlineStr">
        <is>
          <t>Todo</t>
        </is>
      </c>
      <c r="F34" s="5" t="n">
        <v>2</v>
      </c>
      <c r="G34" s="8" t="inlineStr">
        <is>
          <t>Define `CPortfolio` and `CProgram` with necessary fields and relationships.  Use metadata annotations for Vaadin forms.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is>
      </c>
    </row>
    <row r="35" ht="60.15" customHeight="1" s="6">
      <c r="A35" s="5" t="inlineStr">
        <is>
          <t>Portfolio &amp; Program Management</t>
        </is>
      </c>
      <c r="B35" s="5" t="inlineStr">
        <is>
          <t>Portfolio and program entities</t>
        </is>
      </c>
      <c r="C35" s="5" t="inlineStr">
        <is>
          <t>Create portfolios and programs</t>
        </is>
      </c>
      <c r="D35" s="5" t="inlineStr">
        <is>
          <t>Services:</t>
        </is>
      </c>
      <c r="E35" s="5" t="inlineStr">
        <is>
          <t>Todo</t>
        </is>
      </c>
      <c r="F35" s="5" t="n">
        <v>2</v>
      </c>
      <c r="G35" s="8" t="inlineStr">
        <is>
          <t>Create `CPortfolioService` and `CProgramService` with CRUD operations, membership management and search filters.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36" ht="74.8" customHeight="1" s="6">
      <c r="A36" s="5" t="inlineStr">
        <is>
          <t>Portfolio &amp; Program Management</t>
        </is>
      </c>
      <c r="B36" s="5" t="inlineStr">
        <is>
          <t>Portfolio and program entities</t>
        </is>
      </c>
      <c r="C36" s="5" t="inlineStr">
        <is>
          <t>Create portfolios and programs</t>
        </is>
      </c>
      <c r="D36" s="5" t="inlineStr">
        <is>
          <t>UI pages:</t>
        </is>
      </c>
      <c r="E36" s="5" t="inlineStr">
        <is>
          <t>Todo</t>
        </is>
      </c>
      <c r="F36" s="5" t="n">
        <v>2</v>
      </c>
      <c r="G36" s="8" t="inlineStr">
        <is>
          <t>Build `CPortfolioPage` and `CProgramPage` to list portfolios/programs and display summary metrics.  Provide forms for editing.  Use charts and status indicators. Steps: Create a Vaadin page extending the appropriate abstract page. Inject services via the constructor. Bind fields using `Binder` and set up validation. Build responsive layouts and configure grids. Add tests for the UI using Playwright or TestBench.</t>
        </is>
      </c>
    </row>
    <row r="37" ht="74.8" customHeight="1" s="6">
      <c r="A37" s="5" t="inlineStr">
        <is>
          <t>Portfolio &amp; Program Management</t>
        </is>
      </c>
      <c r="B37" s="5" t="inlineStr">
        <is>
          <t>Portfolio and program entities</t>
        </is>
      </c>
      <c r="C37" s="5" t="inlineStr">
        <is>
          <t>Create portfolios and programs</t>
        </is>
      </c>
      <c r="D37" s="5" t="inlineStr">
        <is>
          <t>Project linking:</t>
        </is>
      </c>
      <c r="E37" s="5" t="inlineStr">
        <is>
          <t>Todo</t>
        </is>
      </c>
      <c r="F37" s="5" t="n">
        <v>2</v>
      </c>
      <c r="G37" s="8" t="inlineStr">
        <is>
          <t>Update `CProject` to include optional foreign keys to `CPortfolio` and `CProgram`.  Add relationship management UI to assign a project to a portfolio/program. Steps: Create a Vaadin page extending the appropriate abstract page. Inject services via the constructor. Bind fields using `Binder` and set up validation. Build responsive layouts and configure grids. Add tests for the UI using Playwright or TestBench.</t>
        </is>
      </c>
    </row>
    <row r="38" ht="45.45" customHeight="1" s="6">
      <c r="A38" s="5" t="inlineStr">
        <is>
          <t>Portfolio &amp; Program Management</t>
        </is>
      </c>
      <c r="B38" s="5" t="inlineStr">
        <is>
          <t>Portfolio and program entities</t>
        </is>
      </c>
      <c r="C38" s="5" t="inlineStr">
        <is>
          <t>Create portfolios and programs</t>
        </is>
      </c>
      <c r="D38" s="5" t="inlineStr">
        <is>
          <t>Database migration:</t>
        </is>
      </c>
      <c r="E38" s="5" t="inlineStr">
        <is>
          <t>Todo</t>
        </is>
      </c>
      <c r="F38" s="5" t="n">
        <v>1</v>
      </c>
      <c r="G38" s="8" t="inlineStr">
        <is>
          <t>Add portfolio and program tables and update project table to include new references. Steps: Write a new Liquibase or Flyway migration file. Include index and foreign key definitions. Test migration on a sample database.</t>
        </is>
      </c>
    </row>
    <row r="39" ht="118.75" customHeight="1" s="6">
      <c r="A39" s="5" t="inlineStr">
        <is>
          <t>Portfolio &amp; Program Management</t>
        </is>
      </c>
      <c r="B39" s="5" t="inlineStr">
        <is>
          <t>Portfolio and program entities</t>
        </is>
      </c>
      <c r="C39" s="5" t="inlineStr">
        <is>
          <t>Create portfolios and programs</t>
        </is>
      </c>
      <c r="D39" s="5" t="inlineStr">
        <is>
          <t>Tests:</t>
        </is>
      </c>
      <c r="E39" s="5" t="inlineStr">
        <is>
          <t>Todo</t>
        </is>
      </c>
      <c r="F39" s="5" t="n">
        <v>3</v>
      </c>
      <c r="G39" s="8" t="inlineStr">
        <is>
          <t>Unit tests for service layer; UI tests for creating portfolios and linking projects.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40" ht="30.8" customHeight="1" s="6">
      <c r="A40" s="5" t="inlineStr">
        <is>
          <t>Portfolio &amp; Program Management</t>
        </is>
      </c>
      <c r="B40" s="5" t="inlineStr">
        <is>
          <t>Portfolio and program entities</t>
        </is>
      </c>
      <c r="C40" s="5" t="inlineStr">
        <is>
          <t>Create portfolios and programs</t>
        </is>
      </c>
      <c r="D40" s="5" t="inlineStr">
        <is>
          <t>Documentation:</t>
        </is>
      </c>
      <c r="E40" s="5" t="inlineStr">
        <is>
          <t>Todo</t>
        </is>
      </c>
      <c r="F40" s="5" t="n">
        <v>1</v>
      </c>
      <c r="G40" s="8" t="inlineStr">
        <is>
          <t>Document portfolio/program concepts and management. Steps: Update documentation to reflect new features. Add code samples and usage examples.</t>
        </is>
      </c>
    </row>
    <row r="41" ht="74.8" customHeight="1" s="6">
      <c r="A41" s="5" t="inlineStr">
        <is>
          <t>Portfolio &amp; Program Management</t>
        </is>
      </c>
      <c r="B41" s="5" t="inlineStr">
        <is>
          <t>Portfolio dashboards and dependency management</t>
        </is>
      </c>
      <c r="C41" s="5" t="inlineStr">
        <is>
          <t>View portfolio dashboard</t>
        </is>
      </c>
      <c r="D41" s="5" t="inlineStr">
        <is>
          <t>Dashboard service:</t>
        </is>
      </c>
      <c r="E41" s="5" t="inlineStr">
        <is>
          <t>Todo</t>
        </is>
      </c>
      <c r="F41" s="5" t="n">
        <v>2</v>
      </c>
      <c r="G41" s="8" t="inlineStr">
        <is>
          <t>Implement `CPortfolioDashboardService` that aggregates metrics across projects.  Use existing financial, sprint and risk services.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42" ht="60.15" customHeight="1" s="6">
      <c r="A42" s="5" t="inlineStr">
        <is>
          <t>Portfolio &amp; Program Management</t>
        </is>
      </c>
      <c r="B42" s="5" t="inlineStr">
        <is>
          <t>Portfolio dashboards and dependency management</t>
        </is>
      </c>
      <c r="C42" s="5" t="inlineStr">
        <is>
          <t>View portfolio dashboard</t>
        </is>
      </c>
      <c r="D42" s="5" t="inlineStr">
        <is>
          <t>UI page:</t>
        </is>
      </c>
      <c r="E42" s="5" t="inlineStr">
        <is>
          <t>Todo</t>
        </is>
      </c>
      <c r="F42" s="5" t="n">
        <v>1</v>
      </c>
      <c r="G42" s="8" t="inlineStr">
        <is>
          <t>Create `CPortfolioDashboardPage` with tables and charts; integrate with portfolio navigation. Steps: Create a Vaadin page extending the appropriate abstract page. Inject services via the constructor. Bind fields using `Binder` and set up validation. Build responsive layouts and configure grids. Add tests for the UI using Playwright or TestBench.</t>
        </is>
      </c>
    </row>
    <row r="43" ht="74.8" customHeight="1" s="6">
      <c r="A43" s="5" t="inlineStr">
        <is>
          <t>Portfolio &amp; Program Management</t>
        </is>
      </c>
      <c r="B43" s="5" t="inlineStr">
        <is>
          <t>Portfolio dashboards and dependency management</t>
        </is>
      </c>
      <c r="C43" s="5" t="inlineStr">
        <is>
          <t>View portfolio dashboard</t>
        </is>
      </c>
      <c r="D43" s="5" t="inlineStr">
        <is>
          <t>Tests:</t>
        </is>
      </c>
      <c r="E43" s="5" t="inlineStr">
        <is>
          <t>Todo</t>
        </is>
      </c>
      <c r="F43" s="5" t="n">
        <v>2</v>
      </c>
      <c r="G43" s="8" t="inlineStr">
        <is>
          <t>Unit tests for aggregation; UI tests for dashboard.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44" ht="30.8" customHeight="1" s="6">
      <c r="A44" s="5" t="inlineStr">
        <is>
          <t>Portfolio &amp; Program Management</t>
        </is>
      </c>
      <c r="B44" s="5" t="inlineStr">
        <is>
          <t>Portfolio dashboards and dependency management</t>
        </is>
      </c>
      <c r="C44" s="5" t="inlineStr">
        <is>
          <t>View portfolio dashboard</t>
        </is>
      </c>
      <c r="D44" s="5" t="inlineStr">
        <is>
          <t>Documentation:</t>
        </is>
      </c>
      <c r="E44" s="5" t="inlineStr">
        <is>
          <t>Todo</t>
        </is>
      </c>
      <c r="F44" s="5" t="n">
        <v>1</v>
      </c>
      <c r="G44" s="8" t="inlineStr">
        <is>
          <t>Describe how to read portfolio dashboards. Steps: Update documentation to reflect new features. Add code samples and usage examples.</t>
        </is>
      </c>
    </row>
    <row r="45" ht="118.75" customHeight="1" s="6">
      <c r="A45" s="5" t="inlineStr">
        <is>
          <t>Portfolio &amp; Program Management</t>
        </is>
      </c>
      <c r="B45" s="5" t="inlineStr">
        <is>
          <t>Portfolio dashboards and dependency management</t>
        </is>
      </c>
      <c r="C45" s="5" t="inlineStr">
        <is>
          <t>Manage cross‑project dependencies</t>
        </is>
      </c>
      <c r="D45" s="5" t="inlineStr">
        <is>
          <t>Entity &amp; service:</t>
        </is>
      </c>
      <c r="E45" s="5" t="inlineStr">
        <is>
          <t>Todo</t>
        </is>
      </c>
      <c r="F45" s="5" t="n">
        <v>2</v>
      </c>
      <c r="G45" s="8" t="inlineStr">
        <is>
          <t>Define `CProjectDependency` and implement CRUD operations in `CProjectDependencyService`.  Provide helper methods to detect circular dependencies.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46" ht="60.15" customHeight="1" s="6">
      <c r="A46" s="5" t="inlineStr">
        <is>
          <t>Portfolio &amp; Program Management</t>
        </is>
      </c>
      <c r="B46" s="5" t="inlineStr">
        <is>
          <t>Portfolio dashboards and dependency management</t>
        </is>
      </c>
      <c r="C46" s="5" t="inlineStr">
        <is>
          <t>Manage cross‑project dependencies</t>
        </is>
      </c>
      <c r="D46" s="5" t="inlineStr">
        <is>
          <t>UI components:</t>
        </is>
      </c>
      <c r="E46" s="5" t="inlineStr">
        <is>
          <t>Todo</t>
        </is>
      </c>
      <c r="F46" s="5" t="n">
        <v>2</v>
      </c>
      <c r="G46" s="8" t="inlineStr">
        <is>
          <t>Create a dependency matrix grid and timeline view using Vaadin Gantt or custom implementation.  Integrate with program pages. Steps: Create a Vaadin page extending the appropriate abstract page. Inject services via the constructor. Bind fields using `Binder` and set up validation. Build responsive layouts and configure grids. Add tests for the UI using Playwright or TestBench.</t>
        </is>
      </c>
    </row>
    <row r="47" ht="60.15" customHeight="1" s="6">
      <c r="A47" s="5" t="inlineStr">
        <is>
          <t>Portfolio &amp; Program Management</t>
        </is>
      </c>
      <c r="B47" s="5" t="inlineStr">
        <is>
          <t>Portfolio dashboards and dependency management</t>
        </is>
      </c>
      <c r="C47" s="5" t="inlineStr">
        <is>
          <t>Manage cross‑project dependencies</t>
        </is>
      </c>
      <c r="D47" s="5" t="inlineStr">
        <is>
          <t>Alerts:</t>
        </is>
      </c>
      <c r="E47" s="5" t="inlineStr">
        <is>
          <t>Todo</t>
        </is>
      </c>
      <c r="F47" s="5" t="n">
        <v>2</v>
      </c>
      <c r="G47" s="8" t="inlineStr">
        <is>
          <t>Leverage the notification service from Epic 1 to send alerts when dependencies are at risk.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48" ht="74.8" customHeight="1" s="6">
      <c r="A48" s="5" t="inlineStr">
        <is>
          <t>Portfolio &amp; Program Management</t>
        </is>
      </c>
      <c r="B48" s="5" t="inlineStr">
        <is>
          <t>Portfolio dashboards and dependency management</t>
        </is>
      </c>
      <c r="C48" s="5" t="inlineStr">
        <is>
          <t>Manage cross‑project dependencies</t>
        </is>
      </c>
      <c r="D48" s="5" t="inlineStr">
        <is>
          <t>Tests:</t>
        </is>
      </c>
      <c r="E48" s="5" t="inlineStr">
        <is>
          <t>Todo</t>
        </is>
      </c>
      <c r="F48" s="5" t="n">
        <v>2</v>
      </c>
      <c r="G48" s="8" t="inlineStr">
        <is>
          <t>Unit tests for dependency logic; UI tests for the matrix and timeline.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49" ht="30.8" customHeight="1" s="6">
      <c r="A49" s="5" t="inlineStr">
        <is>
          <t>Portfolio &amp; Program Management</t>
        </is>
      </c>
      <c r="B49" s="5" t="inlineStr">
        <is>
          <t>Portfolio dashboards and dependency management</t>
        </is>
      </c>
      <c r="C49" s="5" t="inlineStr">
        <is>
          <t>Manage cross‑project dependencies</t>
        </is>
      </c>
      <c r="D49" s="5" t="inlineStr">
        <is>
          <t>Documentation:</t>
        </is>
      </c>
      <c r="E49" s="5" t="inlineStr">
        <is>
          <t>Todo</t>
        </is>
      </c>
      <c r="F49" s="5" t="n">
        <v>1</v>
      </c>
      <c r="G49" s="8" t="inlineStr">
        <is>
          <t>Document how to create dependencies and interpret the timeline. Steps: Update documentation to reflect new features. Add code samples and usage examples.</t>
        </is>
      </c>
    </row>
    <row r="50" ht="118.75" customHeight="1" s="6">
      <c r="A50" s="5" t="inlineStr">
        <is>
          <t>Idea &amp; Backlog Management</t>
        </is>
      </c>
      <c r="B50" s="5" t="inlineStr">
        <is>
          <t>Idea capture &amp; voting</t>
        </is>
      </c>
      <c r="C50" s="5" t="inlineStr">
        <is>
          <t>Submit and vote on ideas</t>
        </is>
      </c>
      <c r="D50" s="5" t="inlineStr">
        <is>
          <t>Entity &amp; service:</t>
        </is>
      </c>
      <c r="E50" s="5" t="inlineStr">
        <is>
          <t>Todo</t>
        </is>
      </c>
      <c r="F50" s="5" t="n">
        <v>3</v>
      </c>
      <c r="G50" s="8" t="inlineStr">
        <is>
          <t>Create `CIdea` and `CIdeaService` with CRUD operations, voting logic and duplicate detection (e.g., using Levenshtein distance).  Create `CIdeaVote` entity to record user votes and prevent duplicates.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51" ht="74.8" customHeight="1" s="6">
      <c r="A51" s="5" t="inlineStr">
        <is>
          <t>Idea &amp; Backlog Management</t>
        </is>
      </c>
      <c r="B51" s="5" t="inlineStr">
        <is>
          <t>Idea capture &amp; voting</t>
        </is>
      </c>
      <c r="C51" s="5" t="inlineStr">
        <is>
          <t>Submit and vote on ideas</t>
        </is>
      </c>
      <c r="D51" s="5" t="inlineStr">
        <is>
          <t>UI page:</t>
        </is>
      </c>
      <c r="E51" s="5" t="inlineStr">
        <is>
          <t>Todo</t>
        </is>
      </c>
      <c r="F51" s="5" t="n">
        <v>2</v>
      </c>
      <c r="G51" s="8" t="inlineStr">
        <is>
          <t>Build `CIdeaPage` with a submission form, list of ideas sorted by vote count and status filters.  Include actions for voting and status updates (for product owners).  Provide tag filtering. Steps: Create a Vaadin page extending the appropriate abstract page. Inject services via the constructor. Bind fields using `Binder` and set up validation. Build responsive layouts and configure grids. Add tests for the UI using Playwright or TestBench.</t>
        </is>
      </c>
    </row>
    <row r="52" ht="60.15" customHeight="1" s="6">
      <c r="A52" s="5" t="inlineStr">
        <is>
          <t>Idea &amp; Backlog Management</t>
        </is>
      </c>
      <c r="B52" s="5" t="inlineStr">
        <is>
          <t>Idea capture &amp; voting</t>
        </is>
      </c>
      <c r="C52" s="5" t="inlineStr">
        <is>
          <t>Submit and vote on ideas</t>
        </is>
      </c>
      <c r="D52" s="5" t="inlineStr">
        <is>
          <t>Traceability:</t>
        </is>
      </c>
      <c r="E52" s="5" t="inlineStr">
        <is>
          <t>Todo</t>
        </is>
      </c>
      <c r="F52" s="5" t="n">
        <v>2</v>
      </c>
      <c r="G52" s="8" t="inlineStr">
        <is>
          <t>Add optional relationships to backlog items (epics and stories).  Provide UI to link an idea to an epic or feature. Steps: Create a Vaadin page extending the appropriate abstract page. Inject services via the constructor. Bind fields using `Binder` and set up validation. Build responsive layouts and configure grids. Add tests for the UI using Playwright or TestBench.</t>
        </is>
      </c>
    </row>
    <row r="53" ht="74.8" customHeight="1" s="6">
      <c r="A53" s="5" t="inlineStr">
        <is>
          <t>Idea &amp; Backlog Management</t>
        </is>
      </c>
      <c r="B53" s="5" t="inlineStr">
        <is>
          <t>Idea capture &amp; voting</t>
        </is>
      </c>
      <c r="C53" s="5" t="inlineStr">
        <is>
          <t>Submit and vote on ideas</t>
        </is>
      </c>
      <c r="D53" s="5" t="inlineStr">
        <is>
          <t>Tests:</t>
        </is>
      </c>
      <c r="E53" s="5" t="inlineStr">
        <is>
          <t>Todo</t>
        </is>
      </c>
      <c r="F53" s="5" t="n">
        <v>2</v>
      </c>
      <c r="G53" s="8" t="inlineStr">
        <is>
          <t>Unit tests for voting logic and duplicate detection; UI tests for idea submission and voting.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54" ht="30.8" customHeight="1" s="6">
      <c r="A54" s="5" t="inlineStr">
        <is>
          <t>Idea &amp; Backlog Management</t>
        </is>
      </c>
      <c r="B54" s="5" t="inlineStr">
        <is>
          <t>Idea capture &amp; voting</t>
        </is>
      </c>
      <c r="C54" s="5" t="inlineStr">
        <is>
          <t>Submit and vote on ideas</t>
        </is>
      </c>
      <c r="D54" s="5" t="inlineStr">
        <is>
          <t>Documentation:</t>
        </is>
      </c>
      <c r="E54" s="5" t="inlineStr">
        <is>
          <t>Todo</t>
        </is>
      </c>
      <c r="F54" s="5" t="n">
        <v>1</v>
      </c>
      <c r="G54" s="8" t="inlineStr">
        <is>
          <t>Document how to submit ideas, vote and track decisions. Steps: Update documentation to reflect new features. Add code samples and usage examples.</t>
        </is>
      </c>
    </row>
    <row r="55" ht="89.45" customHeight="1" s="6">
      <c r="A55" s="5" t="inlineStr">
        <is>
          <t>Idea &amp; Backlog Management</t>
        </is>
      </c>
      <c r="B55" s="5" t="inlineStr">
        <is>
          <t>Backlog management board</t>
        </is>
      </c>
      <c r="C55" s="5" t="inlineStr">
        <is>
          <t>Manage product backlog</t>
        </is>
      </c>
      <c r="D55" s="5" t="inlineStr">
        <is>
          <t>Entity extension:</t>
        </is>
      </c>
      <c r="E55" s="5" t="inlineStr">
        <is>
          <t>Todo</t>
        </is>
      </c>
      <c r="F55" s="5" t="n">
        <v>2</v>
      </c>
      <c r="G55" s="8" t="inlineStr">
        <is>
          <t>Reuse the existing `CActivity` entity for backlog items or introduce `CBacklogItem` as a lightweight representation that converts to activities when moved into a sprint.  Include fields for priority, status and linked idea.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is>
      </c>
    </row>
    <row r="56" ht="60.15" customHeight="1" s="6">
      <c r="A56" s="5" t="inlineStr">
        <is>
          <t>Idea &amp; Backlog Management</t>
        </is>
      </c>
      <c r="B56" s="5" t="inlineStr">
        <is>
          <t>Backlog management board</t>
        </is>
      </c>
      <c r="C56" s="5" t="inlineStr">
        <is>
          <t>Manage product backlog</t>
        </is>
      </c>
      <c r="D56" s="5" t="inlineStr">
        <is>
          <t>Service layer:</t>
        </is>
      </c>
      <c r="E56" s="5" t="inlineStr">
        <is>
          <t>Todo</t>
        </is>
      </c>
      <c r="F56" s="5" t="n">
        <v>2</v>
      </c>
      <c r="G56" s="8" t="inlineStr">
        <is>
          <t>Create `CBacklogItemService` with CRUD operations, ranking logic and filtering by project or epic.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57" ht="133.45" customHeight="1" s="6">
      <c r="A57" s="5" t="inlineStr">
        <is>
          <t>Idea &amp; Backlog Management</t>
        </is>
      </c>
      <c r="B57" s="5" t="inlineStr">
        <is>
          <t>Backlog management board</t>
        </is>
      </c>
      <c r="C57" s="5" t="inlineStr">
        <is>
          <t>Manage product backlog</t>
        </is>
      </c>
      <c r="D57" s="5" t="inlineStr">
        <is>
          <t>UI:</t>
        </is>
      </c>
      <c r="E57" s="5" t="inlineStr">
        <is>
          <t>Todo</t>
        </is>
      </c>
      <c r="F57" s="5" t="n">
        <v>3</v>
      </c>
      <c r="G57" s="8" t="inlineStr">
        <is>
          <t>Build `CBacklogBoardPage` using the Kanban board component (`CKanbanLine` and `CKanbanColumn`).  Adapt columns for statuses and provide swimlanes for priorities.  Enable drag‑and‑drop to reorder items; update ordering in the service layer.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58" ht="30.8" customHeight="1" s="6">
      <c r="A58" s="5" t="inlineStr">
        <is>
          <t>Idea &amp; Backlog Management</t>
        </is>
      </c>
      <c r="B58" s="5" t="inlineStr">
        <is>
          <t>Backlog management board</t>
        </is>
      </c>
      <c r="C58" s="5" t="inlineStr">
        <is>
          <t>Manage product backlog</t>
        </is>
      </c>
      <c r="D58" s="5" t="inlineStr">
        <is>
          <t>Integration:</t>
        </is>
      </c>
      <c r="E58" s="5" t="inlineStr">
        <is>
          <t>Todo</t>
        </is>
      </c>
      <c r="F58" s="5" t="n">
        <v>1</v>
      </c>
      <c r="G58" s="8" t="inlineStr">
        <is>
          <t>Provide actions to move items from backlog to a sprint.  When moved, convert `CBacklogItem` to `CActivity` and assign to the selected sprint.</t>
        </is>
      </c>
    </row>
    <row r="59" ht="74.8" customHeight="1" s="6">
      <c r="A59" s="5" t="inlineStr">
        <is>
          <t>Idea &amp; Backlog Management</t>
        </is>
      </c>
      <c r="B59" s="5" t="inlineStr">
        <is>
          <t>Backlog management board</t>
        </is>
      </c>
      <c r="C59" s="5" t="inlineStr">
        <is>
          <t>Manage product backlog</t>
        </is>
      </c>
      <c r="D59" s="5" t="inlineStr">
        <is>
          <t>Tests:</t>
        </is>
      </c>
      <c r="E59" s="5" t="inlineStr">
        <is>
          <t>Todo</t>
        </is>
      </c>
      <c r="F59" s="5" t="n">
        <v>2</v>
      </c>
      <c r="G59" s="8" t="inlineStr">
        <is>
          <t>Unit tests for ranking and status transitions; UI tests for drag‑and‑drop interactions.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60" ht="30.8" customHeight="1" s="6">
      <c r="A60" s="5" t="inlineStr">
        <is>
          <t>Idea &amp; Backlog Management</t>
        </is>
      </c>
      <c r="B60" s="5" t="inlineStr">
        <is>
          <t>Backlog management board</t>
        </is>
      </c>
      <c r="C60" s="5" t="inlineStr">
        <is>
          <t>Manage product backlog</t>
        </is>
      </c>
      <c r="D60" s="5" t="inlineStr">
        <is>
          <t>Documentation:</t>
        </is>
      </c>
      <c r="E60" s="5" t="inlineStr">
        <is>
          <t>Todo</t>
        </is>
      </c>
      <c r="F60" s="5" t="n">
        <v>1</v>
      </c>
      <c r="G60" s="8" t="inlineStr">
        <is>
          <t>Explain backlog management and how to prioritise and move items into sprints. Steps: Update documentation to reflect new features. Add code samples and usage examples.</t>
        </is>
      </c>
    </row>
    <row r="61" ht="118.75" customHeight="1" s="6">
      <c r="A61" s="5" t="inlineStr">
        <is>
          <t>Issue &amp; Bug Tracking</t>
        </is>
      </c>
      <c r="B61" s="5" t="inlineStr">
        <is>
          <t>Issue and bug entities</t>
        </is>
      </c>
      <c r="C61" s="5" t="inlineStr">
        <is>
          <t>Log and manage issues</t>
        </is>
      </c>
      <c r="D61" s="5" t="inlineStr">
        <is>
          <t>Entity &amp; service:</t>
        </is>
      </c>
      <c r="E61" s="5" t="inlineStr">
        <is>
          <t>Todo</t>
        </is>
      </c>
      <c r="F61" s="5" t="n">
        <v>2</v>
      </c>
      <c r="G61" s="8" t="inlineStr">
        <is>
          <t>Implement `CIssue` and enumerations.  Create `CIssueService` with CRUD operations, status transitions and search filters.  Add `CIssueComment` entity for comments on issues.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62" ht="74.8" customHeight="1" s="6">
      <c r="A62" s="5" t="inlineStr">
        <is>
          <t>Issue &amp; Bug Tracking</t>
        </is>
      </c>
      <c r="B62" s="5" t="inlineStr">
        <is>
          <t>Issue and bug entities</t>
        </is>
      </c>
      <c r="C62" s="5" t="inlineStr">
        <is>
          <t>Log and manage issues</t>
        </is>
      </c>
      <c r="D62" s="5" t="inlineStr">
        <is>
          <t>UI page:</t>
        </is>
      </c>
      <c r="E62" s="5" t="inlineStr">
        <is>
          <t>Todo</t>
        </is>
      </c>
      <c r="F62" s="5" t="n">
        <v>2</v>
      </c>
      <c r="G62" s="8" t="inlineStr">
        <is>
          <t>Develop `CIssuePage` to list issues in a grid with filters and a detailed view.  Provide forms for creating/editing issues, adding comments and attachments.  Integrate with notification system to inform assignees of new issues. Steps: Create a Vaadin page extending the appropriate abstract page. Inject services via the constructor. Bind fields using `Binder` and set up validation. Build responsive layouts and configure grids. Add tests for the UI using Playwright or TestBench.</t>
        </is>
      </c>
    </row>
    <row r="63" ht="74.8" customHeight="1" s="6">
      <c r="A63" s="5" t="inlineStr">
        <is>
          <t>Issue &amp; Bug Tracking</t>
        </is>
      </c>
      <c r="B63" s="5" t="inlineStr">
        <is>
          <t>Issue and bug entities</t>
        </is>
      </c>
      <c r="C63" s="5" t="inlineStr">
        <is>
          <t>Log and manage issues</t>
        </is>
      </c>
      <c r="D63" s="5" t="inlineStr">
        <is>
          <t>Workflow engine:</t>
        </is>
      </c>
      <c r="E63" s="5" t="inlineStr">
        <is>
          <t>Todo</t>
        </is>
      </c>
      <c r="F63" s="5" t="n">
        <v>2</v>
      </c>
      <c r="G63" s="8" t="inlineStr">
        <is>
          <t>Implement basic state machine logic in service layer.  Use annotation or configuration to restrict transitions (e.g., cannot close without resolution).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64" ht="74.8" customHeight="1" s="6">
      <c r="A64" s="5" t="inlineStr">
        <is>
          <t>Issue &amp; Bug Tracking</t>
        </is>
      </c>
      <c r="B64" s="5" t="inlineStr">
        <is>
          <t>Issue and bug entities</t>
        </is>
      </c>
      <c r="C64" s="5" t="inlineStr">
        <is>
          <t>Log and manage issues</t>
        </is>
      </c>
      <c r="D64" s="5" t="inlineStr">
        <is>
          <t>Integration:</t>
        </is>
      </c>
      <c r="E64" s="5" t="inlineStr">
        <is>
          <t>Todo</t>
        </is>
      </c>
      <c r="F64" s="5" t="n">
        <v>2</v>
      </c>
      <c r="G64" s="8" t="inlineStr">
        <is>
          <t>Allow linking issues to activities; when an activity completes, associated issues may be closed automatically.  Provide issue counts in sprint and project views. Steps: Create a Vaadin page extending the appropriate abstract page. Inject services via the constructor. Bind fields using `Binder` and set up validation. Build responsive layouts and configure grids. Add tests for the UI using Playwright or TestBench.</t>
        </is>
      </c>
    </row>
    <row r="65" ht="74.8" customHeight="1" s="6">
      <c r="A65" s="5" t="inlineStr">
        <is>
          <t>Issue &amp; Bug Tracking</t>
        </is>
      </c>
      <c r="B65" s="5" t="inlineStr">
        <is>
          <t>Issue and bug entities</t>
        </is>
      </c>
      <c r="C65" s="5" t="inlineStr">
        <is>
          <t>Log and manage issues</t>
        </is>
      </c>
      <c r="D65" s="5" t="inlineStr">
        <is>
          <t>Tests:</t>
        </is>
      </c>
      <c r="E65" s="5" t="inlineStr">
        <is>
          <t>Todo</t>
        </is>
      </c>
      <c r="F65" s="5" t="n">
        <v>2</v>
      </c>
      <c r="G65" s="8" t="inlineStr">
        <is>
          <t>Unit tests for issue creation and state transitions; UI tests for forms and views.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66" ht="60.15" customHeight="1" s="6">
      <c r="A66" s="5" t="inlineStr">
        <is>
          <t>Issue &amp; Bug Tracking</t>
        </is>
      </c>
      <c r="B66" s="5" t="inlineStr">
        <is>
          <t>Issue and bug entities</t>
        </is>
      </c>
      <c r="C66" s="5" t="inlineStr">
        <is>
          <t>Log and manage issues</t>
        </is>
      </c>
      <c r="D66" s="5" t="inlineStr">
        <is>
          <t>Documentation:</t>
        </is>
      </c>
      <c r="E66" s="5" t="inlineStr">
        <is>
          <t>Todo</t>
        </is>
      </c>
      <c r="F66" s="5" t="n">
        <v>2</v>
      </c>
      <c r="G66" s="8" t="inlineStr">
        <is>
          <t>Provide guidelines for bug reporting and handling workflows.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67" ht="74.8" customHeight="1" s="6">
      <c r="A67" s="5" t="inlineStr">
        <is>
          <t>Issue &amp; Bug Tracking</t>
        </is>
      </c>
      <c r="B67" s="5" t="inlineStr">
        <is>
          <t>Issue triage and severity matrix</t>
        </is>
      </c>
      <c r="C67" s="5" t="inlineStr">
        <is>
          <t>Prioritise issues using a severity matrix</t>
        </is>
      </c>
      <c r="D67" s="5" t="inlineStr">
        <is>
          <t>Matrix calculation:</t>
        </is>
      </c>
      <c r="E67" s="5" t="inlineStr">
        <is>
          <t>Todo</t>
        </is>
      </c>
      <c r="F67" s="5" t="n">
        <v>2</v>
      </c>
      <c r="G67" s="8" t="inlineStr">
        <is>
          <t>Enhance `CIssueService` to compute urgency (e.g., days remaining until due date) and group issues by severity and urgency buckets.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68" ht="60.15" customHeight="1" s="6">
      <c r="A68" s="5" t="inlineStr">
        <is>
          <t>Issue &amp; Bug Tracking</t>
        </is>
      </c>
      <c r="B68" s="5" t="inlineStr">
        <is>
          <t>Issue triage and severity matrix</t>
        </is>
      </c>
      <c r="C68" s="5" t="inlineStr">
        <is>
          <t>Prioritise issues using a severity matrix</t>
        </is>
      </c>
      <c r="D68" s="5" t="inlineStr">
        <is>
          <t>UI component:</t>
        </is>
      </c>
      <c r="E68" s="5" t="inlineStr">
        <is>
          <t>Todo</t>
        </is>
      </c>
      <c r="F68" s="5" t="n">
        <v>1</v>
      </c>
      <c r="G68" s="8" t="inlineStr">
        <is>
          <t>Implement `CIssueSeverityMatrix` using Vaadin Chart or grid layout.  Provide interactive cells. Steps: Create a Vaadin page extending the appropriate abstract page. Inject services via the constructor. Bind fields using `Binder` and set up validation. Build responsive layouts and configure grids. Add tests for the UI using Playwright or TestBench.</t>
        </is>
      </c>
    </row>
    <row r="69" ht="60.15" customHeight="1" s="6">
      <c r="A69" s="5" t="inlineStr">
        <is>
          <t>Issue &amp; Bug Tracking</t>
        </is>
      </c>
      <c r="B69" s="5" t="inlineStr">
        <is>
          <t>Issue triage and severity matrix</t>
        </is>
      </c>
      <c r="C69" s="5" t="inlineStr">
        <is>
          <t>Prioritise issues using a severity matrix</t>
        </is>
      </c>
      <c r="D69" s="5" t="inlineStr">
        <is>
          <t>Integration:</t>
        </is>
      </c>
      <c r="E69" s="5" t="inlineStr">
        <is>
          <t>Todo</t>
        </is>
      </c>
      <c r="F69" s="5" t="n">
        <v>2</v>
      </c>
      <c r="G69" s="8" t="inlineStr">
        <is>
          <t>Add the matrix to `CIssuePage` or as a separate view; clicking a cell filters the issue grid. Steps: Create a Vaadin page extending the appropriate abstract page. Inject services via the constructor. Bind fields using `Binder` and set up validation. Build responsive layouts and configure grids. Add tests for the UI using Playwright or TestBench.</t>
        </is>
      </c>
    </row>
    <row r="70" ht="74.8" customHeight="1" s="6">
      <c r="A70" s="5" t="inlineStr">
        <is>
          <t>Issue &amp; Bug Tracking</t>
        </is>
      </c>
      <c r="B70" s="5" t="inlineStr">
        <is>
          <t>Issue triage and severity matrix</t>
        </is>
      </c>
      <c r="C70" s="5" t="inlineStr">
        <is>
          <t>Prioritise issues using a severity matrix</t>
        </is>
      </c>
      <c r="D70" s="5" t="inlineStr">
        <is>
          <t>Tests:</t>
        </is>
      </c>
      <c r="E70" s="5" t="inlineStr">
        <is>
          <t>Todo</t>
        </is>
      </c>
      <c r="F70" s="5" t="n">
        <v>2</v>
      </c>
      <c r="G70" s="8" t="inlineStr">
        <is>
          <t>Unit tests for categorisation; UI tests for matrix interaction.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71" ht="30.8" customHeight="1" s="6">
      <c r="A71" s="5" t="inlineStr">
        <is>
          <t>Issue &amp; Bug Tracking</t>
        </is>
      </c>
      <c r="B71" s="5" t="inlineStr">
        <is>
          <t>Issue triage and severity matrix</t>
        </is>
      </c>
      <c r="C71" s="5" t="inlineStr">
        <is>
          <t>Prioritise issues using a severity matrix</t>
        </is>
      </c>
      <c r="D71" s="5" t="inlineStr">
        <is>
          <t>Documentation:</t>
        </is>
      </c>
      <c r="E71" s="5" t="inlineStr">
        <is>
          <t>Todo</t>
        </is>
      </c>
      <c r="F71" s="5" t="n">
        <v>1</v>
      </c>
      <c r="G71" s="8" t="inlineStr">
        <is>
          <t>Describe how to use the severity matrix to prioritise issues. Steps: Update documentation to reflect new features. Add code samples and usage examples.</t>
        </is>
      </c>
    </row>
    <row r="72" ht="74.8" customHeight="1" s="6">
      <c r="A72" s="5" t="inlineStr">
        <is>
          <t>Calendar &amp; Scheduling Integration</t>
        </is>
      </c>
      <c r="B72" s="5" t="inlineStr">
        <is>
          <t>Calendar view</t>
        </is>
      </c>
      <c r="C72" s="5" t="inlineStr">
        <is>
          <t>View project events on a calendar</t>
        </is>
      </c>
      <c r="D72" s="5" t="inlineStr">
        <is>
          <t>Calendar component:</t>
        </is>
      </c>
      <c r="E72" s="5" t="inlineStr">
        <is>
          <t>Todo</t>
        </is>
      </c>
      <c r="F72" s="5" t="n">
        <v>2</v>
      </c>
      <c r="G72" s="8" t="inlineStr">
        <is>
          <t>Integrate an open‑source Java calendar component (e.g., FullCalendar Vaadin add‑on) to render events.  Create `CCalendarPage` with filters by project and event type. Steps: Create a Vaadin page extending the appropriate abstract page. Inject services via the constructor. Bind fields using `Binder` and set up validation. Build responsive layouts and configure grids. Add tests for the UI using Playwright or TestBench.</t>
        </is>
      </c>
    </row>
    <row r="73" ht="74.8" customHeight="1" s="6">
      <c r="A73" s="5" t="inlineStr">
        <is>
          <t>Calendar &amp; Scheduling Integration</t>
        </is>
      </c>
      <c r="B73" s="5" t="inlineStr">
        <is>
          <t>Calendar view</t>
        </is>
      </c>
      <c r="C73" s="5" t="inlineStr">
        <is>
          <t>View project events on a calendar</t>
        </is>
      </c>
      <c r="D73" s="5" t="inlineStr">
        <is>
          <t>Event service:</t>
        </is>
      </c>
      <c r="E73" s="5" t="inlineStr">
        <is>
          <t>Todo</t>
        </is>
      </c>
      <c r="F73" s="5" t="n">
        <v>2</v>
      </c>
      <c r="G73" s="8" t="inlineStr">
        <is>
          <t>Implement `CEventService` to aggregate events from various entities (meetings, activities, risks, sprints).  Provide transformation to calendar event objects with start/end times and colours.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74" ht="30.8" customHeight="1" s="6">
      <c r="A74" s="5" t="inlineStr">
        <is>
          <t>Calendar &amp; Scheduling Integration</t>
        </is>
      </c>
      <c r="B74" s="5" t="inlineStr">
        <is>
          <t>Calendar view</t>
        </is>
      </c>
      <c r="C74" s="5" t="inlineStr">
        <is>
          <t>View project events on a calendar</t>
        </is>
      </c>
      <c r="D74" s="5" t="inlineStr">
        <is>
          <t>External sync:</t>
        </is>
      </c>
      <c r="E74" s="5" t="inlineStr">
        <is>
          <t>Todo</t>
        </is>
      </c>
      <c r="F74" s="5" t="n">
        <v>1</v>
      </c>
      <c r="G74" s="8" t="inlineStr">
        <is>
          <t>Provide an iCal export endpoint for events.  Use Spring Boot WebMVC to expose a `/calendar/{userId}.ics` endpoint that generates calendar feeds.</t>
        </is>
      </c>
    </row>
    <row r="75" ht="74.8" customHeight="1" s="6">
      <c r="A75" s="5" t="inlineStr">
        <is>
          <t>Calendar &amp; Scheduling Integration</t>
        </is>
      </c>
      <c r="B75" s="5" t="inlineStr">
        <is>
          <t>Calendar view</t>
        </is>
      </c>
      <c r="C75" s="5" t="inlineStr">
        <is>
          <t>View project events on a calendar</t>
        </is>
      </c>
      <c r="D75" s="5" t="inlineStr">
        <is>
          <t>Tests:</t>
        </is>
      </c>
      <c r="E75" s="5" t="inlineStr">
        <is>
          <t>Todo</t>
        </is>
      </c>
      <c r="F75" s="5" t="n">
        <v>2</v>
      </c>
      <c r="G75" s="8" t="inlineStr">
        <is>
          <t>Unit tests for event aggregation; UI tests for calendar interaction.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76" ht="74.8" customHeight="1" s="6">
      <c r="A76" s="5" t="inlineStr">
        <is>
          <t>Calendar &amp; Scheduling Integration</t>
        </is>
      </c>
      <c r="B76" s="5" t="inlineStr">
        <is>
          <t>Calendar view</t>
        </is>
      </c>
      <c r="C76" s="5" t="inlineStr">
        <is>
          <t>View project events on a calendar</t>
        </is>
      </c>
      <c r="D76" s="5" t="inlineStr">
        <is>
          <t>Documentation:</t>
        </is>
      </c>
      <c r="E76" s="5" t="inlineStr">
        <is>
          <t>Todo</t>
        </is>
      </c>
      <c r="F76" s="5" t="n">
        <v>2</v>
      </c>
      <c r="G76" s="8" t="inlineStr">
        <is>
          <t>Document how to use the calendar view and how to sync with external calendars.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77" ht="74.8" customHeight="1" s="6">
      <c r="A77" s="5" t="inlineStr">
        <is>
          <t>Calendar &amp; Scheduling Integration</t>
        </is>
      </c>
      <c r="B77" s="5" t="inlineStr">
        <is>
          <t>Scheduling assistant</t>
        </is>
      </c>
      <c r="C77" s="5" t="inlineStr">
        <is>
          <t>Suggest meeting times avoiding conflicts</t>
        </is>
      </c>
      <c r="D77" s="5" t="inlineStr">
        <is>
          <t>Availability model:</t>
        </is>
      </c>
      <c r="E77" s="5" t="inlineStr">
        <is>
          <t>Todo</t>
        </is>
      </c>
      <c r="F77" s="5" t="n">
        <v>2</v>
      </c>
      <c r="G77" s="8" t="inlineStr">
        <is>
          <t>Extend `CResource` or `CUser` with working hours and calendar events.  Provide a service to compute free time slots for a set of participants.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78" ht="45.45" customHeight="1" s="6">
      <c r="A78" s="5" t="inlineStr">
        <is>
          <t>Calendar &amp; Scheduling Integration</t>
        </is>
      </c>
      <c r="B78" s="5" t="inlineStr">
        <is>
          <t>Scheduling assistant</t>
        </is>
      </c>
      <c r="C78" s="5" t="inlineStr">
        <is>
          <t>Suggest meeting times avoiding conflicts</t>
        </is>
      </c>
      <c r="D78" s="5" t="inlineStr">
        <is>
          <t>Suggestion algorithm:</t>
        </is>
      </c>
      <c r="E78" s="5" t="inlineStr">
        <is>
          <t>Todo</t>
        </is>
      </c>
      <c r="F78" s="5" t="n">
        <v>1</v>
      </c>
      <c r="G78" s="8" t="inlineStr">
        <is>
          <t>Implement an algorithm to find common free intervals given participants’ calendars and meeting duration.  Factor in time zones (Derbent uses Europe/Istanbul for default timezone) and public holidays.</t>
        </is>
      </c>
    </row>
    <row r="79" ht="60.15" customHeight="1" s="6">
      <c r="A79" s="5" t="inlineStr">
        <is>
          <t>Calendar &amp; Scheduling Integration</t>
        </is>
      </c>
      <c r="B79" s="5" t="inlineStr">
        <is>
          <t>Scheduling assistant</t>
        </is>
      </c>
      <c r="C79" s="5" t="inlineStr">
        <is>
          <t>Suggest meeting times avoiding conflicts</t>
        </is>
      </c>
      <c r="D79" s="5" t="inlineStr">
        <is>
          <t>UI integration:</t>
        </is>
      </c>
      <c r="E79" s="5" t="inlineStr">
        <is>
          <t>Todo</t>
        </is>
      </c>
      <c r="F79" s="5" t="n">
        <v>2</v>
      </c>
      <c r="G79" s="8" t="inlineStr">
        <is>
          <t>Modify meeting creation form to display suggested times and highlight conflicts.  Provide a button to auto‑select the first available slot. Steps: Create a Vaadin page extending the appropriate abstract page. Inject services via the constructor. Bind fields using `Binder` and set up validation. Build responsive layouts and configure grids. Add tests for the UI using Playwright or TestBench.</t>
        </is>
      </c>
    </row>
    <row r="80" ht="74.8" customHeight="1" s="6">
      <c r="A80" s="5" t="inlineStr">
        <is>
          <t>Calendar &amp; Scheduling Integration</t>
        </is>
      </c>
      <c r="B80" s="5" t="inlineStr">
        <is>
          <t>Scheduling assistant</t>
        </is>
      </c>
      <c r="C80" s="5" t="inlineStr">
        <is>
          <t>Suggest meeting times avoiding conflicts</t>
        </is>
      </c>
      <c r="D80" s="5" t="inlineStr">
        <is>
          <t>Tests:</t>
        </is>
      </c>
      <c r="E80" s="5" t="inlineStr">
        <is>
          <t>Todo</t>
        </is>
      </c>
      <c r="F80" s="5" t="n">
        <v>2</v>
      </c>
      <c r="G80" s="8" t="inlineStr">
        <is>
          <t>Unit tests for the scheduling algorithm; UI tests for suggestions and warnings.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81" ht="30.8" customHeight="1" s="6">
      <c r="A81" s="5" t="inlineStr">
        <is>
          <t>Calendar &amp; Scheduling Integration</t>
        </is>
      </c>
      <c r="B81" s="5" t="inlineStr">
        <is>
          <t>Scheduling assistant</t>
        </is>
      </c>
      <c r="C81" s="5" t="inlineStr">
        <is>
          <t>Suggest meeting times avoiding conflicts</t>
        </is>
      </c>
      <c r="D81" s="5" t="inlineStr">
        <is>
          <t>Documentation:</t>
        </is>
      </c>
      <c r="E81" s="5" t="inlineStr">
        <is>
          <t>Todo</t>
        </is>
      </c>
      <c r="F81" s="5" t="n">
        <v>1</v>
      </c>
      <c r="G81" s="8" t="inlineStr">
        <is>
          <t>Explain how the scheduling assistant works and its limitations. Steps: Update documentation to reflect new features. Add code samples and usage examples.</t>
        </is>
      </c>
    </row>
    <row r="82" ht="74.8" customHeight="1" s="6">
      <c r="A82" s="5" t="inlineStr">
        <is>
          <t>Permissions &amp; Role Management UI</t>
        </is>
      </c>
      <c r="B82" s="5" t="inlineStr">
        <is>
          <t>Role &amp; permission administration</t>
        </is>
      </c>
      <c r="C82" s="5" t="inlineStr">
        <is>
          <t>Manage roles and permissions</t>
        </is>
      </c>
      <c r="D82" s="5" t="inlineStr">
        <is>
          <t>Entities &amp; service:</t>
        </is>
      </c>
      <c r="E82" s="5" t="inlineStr">
        <is>
          <t>Todo</t>
        </is>
      </c>
      <c r="F82" s="5" t="n">
        <v>2</v>
      </c>
      <c r="G82" s="8" t="inlineStr">
        <is>
          <t>Create `CRole` and `CUserRole` entities, and `CRoleService` and `CUserRoleService` for CRUD operations.  Fetch available permissions dynamically from Spring Security configuration or a configuration file.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83" ht="74.8" customHeight="1" s="6">
      <c r="A83" s="5" t="inlineStr">
        <is>
          <t>Permissions &amp; Role Management UI</t>
        </is>
      </c>
      <c r="B83" s="5" t="inlineStr">
        <is>
          <t>Role &amp; permission administration</t>
        </is>
      </c>
      <c r="C83" s="5" t="inlineStr">
        <is>
          <t>Manage roles and permissions</t>
        </is>
      </c>
      <c r="D83" s="5" t="inlineStr">
        <is>
          <t>UI pages:</t>
        </is>
      </c>
      <c r="E83" s="5" t="inlineStr">
        <is>
          <t>Todo</t>
        </is>
      </c>
      <c r="F83" s="5" t="n">
        <v>2</v>
      </c>
      <c r="G83" s="8" t="inlineStr">
        <is>
          <t>Build `CRoleManagementPage` for roles and `CUserManagementPage` for user‑role assignments.  Use checkboxes or dual‑list selectors for permission assignment. Steps: Create a Vaadin page extending the appropriate abstract page. Inject services via the constructor. Bind fields using `Binder` and set up validation. Build responsive layouts and configure grids. Add tests for the UI using Playwright or TestBench.</t>
        </is>
      </c>
    </row>
    <row r="84" ht="30.8" customHeight="1" s="6">
      <c r="A84" s="5" t="inlineStr">
        <is>
          <t>Permissions &amp; Role Management UI</t>
        </is>
      </c>
      <c r="B84" s="5" t="inlineStr">
        <is>
          <t>Role &amp; permission administration</t>
        </is>
      </c>
      <c r="C84" s="5" t="inlineStr">
        <is>
          <t>Manage roles and permissions</t>
        </is>
      </c>
      <c r="D84" s="5" t="inlineStr">
        <is>
          <t>Integration:</t>
        </is>
      </c>
      <c r="E84" s="5" t="inlineStr">
        <is>
          <t>Todo</t>
        </is>
      </c>
      <c r="F84" s="5" t="n">
        <v>1</v>
      </c>
      <c r="G84" s="8" t="inlineStr">
        <is>
          <t>Update login and access control mechanisms to evaluate permissions defined in the database.  Migrate existing hard‑coded roles to database entries.</t>
        </is>
      </c>
    </row>
    <row r="85" ht="74.8" customHeight="1" s="6">
      <c r="A85" s="5" t="inlineStr">
        <is>
          <t>Permissions &amp; Role Management UI</t>
        </is>
      </c>
      <c r="B85" s="5" t="inlineStr">
        <is>
          <t>Role &amp; permission administration</t>
        </is>
      </c>
      <c r="C85" s="5" t="inlineStr">
        <is>
          <t>Manage roles and permissions</t>
        </is>
      </c>
      <c r="D85" s="5" t="inlineStr">
        <is>
          <t>Tests:</t>
        </is>
      </c>
      <c r="E85" s="5" t="inlineStr">
        <is>
          <t>Todo</t>
        </is>
      </c>
      <c r="F85" s="5" t="n">
        <v>2</v>
      </c>
      <c r="G85" s="8" t="inlineStr">
        <is>
          <t>Unit tests for role creation and permission enforcement; UI tests for management pages.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86" ht="30.8" customHeight="1" s="6">
      <c r="A86" s="5" t="inlineStr">
        <is>
          <t>Permissions &amp; Role Management UI</t>
        </is>
      </c>
      <c r="B86" s="5" t="inlineStr">
        <is>
          <t>Role &amp; permission administration</t>
        </is>
      </c>
      <c r="C86" s="5" t="inlineStr">
        <is>
          <t>Manage roles and permissions</t>
        </is>
      </c>
      <c r="D86" s="5" t="inlineStr">
        <is>
          <t>Documentation:</t>
        </is>
      </c>
      <c r="E86" s="5" t="inlineStr">
        <is>
          <t>Todo</t>
        </is>
      </c>
      <c r="F86" s="5" t="n">
        <v>1</v>
      </c>
      <c r="G86" s="8" t="inlineStr">
        <is>
          <t>Provide instructions for administrators on configuring roles and assigning permissions. Steps: Update documentation to reflect new features. Add code samples and usage examples.</t>
        </is>
      </c>
    </row>
    <row r="87" ht="74.8" customHeight="1" s="6">
      <c r="A87" s="5" t="inlineStr">
        <is>
          <t>Client Portal &amp; Stakeholder Collaboration</t>
        </is>
      </c>
      <c r="B87" s="5" t="inlineStr">
        <is>
          <t>Client accounts &amp; permissions</t>
        </is>
      </c>
      <c r="C87" s="5" t="inlineStr">
        <is>
          <t>Create and manage client accounts</t>
        </is>
      </c>
      <c r="D87" s="5" t="inlineStr">
        <is>
          <t>Entities &amp; service:</t>
        </is>
      </c>
      <c r="E87" s="5" t="inlineStr">
        <is>
          <t>Todo</t>
        </is>
      </c>
      <c r="F87" s="5" t="n">
        <v>2</v>
      </c>
      <c r="G87" s="8" t="inlineStr">
        <is>
          <t>Define `CClient`, `CClientProjectAssignment` and `CClientRole` entities.  Create `CClientService` for managing clients and assignments.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88" ht="60.15" customHeight="1" s="6">
      <c r="A88" s="5" t="inlineStr">
        <is>
          <t>Client Portal &amp; Stakeholder Collaboration</t>
        </is>
      </c>
      <c r="B88" s="5" t="inlineStr">
        <is>
          <t>Client accounts &amp; permissions</t>
        </is>
      </c>
      <c r="C88" s="5" t="inlineStr">
        <is>
          <t>Create and manage client accounts</t>
        </is>
      </c>
      <c r="D88" s="5" t="inlineStr">
        <is>
          <t>Security integration:</t>
        </is>
      </c>
      <c r="E88" s="5" t="inlineStr">
        <is>
          <t>Todo</t>
        </is>
      </c>
      <c r="F88" s="5" t="n">
        <v>2</v>
      </c>
      <c r="G88" s="8" t="inlineStr">
        <is>
          <t>Extend Spring Security configuration to support client login and map roles to authorities.  Separate client login pages from internal user login. Steps: Create a Vaadin page extending the appropriate abstract page. Inject services via the constructor. Bind fields using `Binder` and set up validation. Build responsive layouts and configure grids. Add tests for the UI using Playwright or TestBench.</t>
        </is>
      </c>
    </row>
    <row r="89" ht="74.8" customHeight="1" s="6">
      <c r="A89" s="5" t="inlineStr">
        <is>
          <t>Client Portal &amp; Stakeholder Collaboration</t>
        </is>
      </c>
      <c r="B89" s="5" t="inlineStr">
        <is>
          <t>Client accounts &amp; permissions</t>
        </is>
      </c>
      <c r="C89" s="5" t="inlineStr">
        <is>
          <t>Create and manage client accounts</t>
        </is>
      </c>
      <c r="D89" s="5" t="inlineStr">
        <is>
          <t>UI:</t>
        </is>
      </c>
      <c r="E89" s="5" t="inlineStr">
        <is>
          <t>Todo</t>
        </is>
      </c>
      <c r="F89" s="5" t="n">
        <v>2</v>
      </c>
      <c r="G89" s="8" t="inlineStr">
        <is>
          <t>Build `CClientPortal` with limited dashboards (project status, risk summary, issue creation form).  Provide a responsive design that emphasises simplicity for clients. Steps: Create a Vaadin page extending the appropriate abstract page. Inject services via the constructor. Bind fields using `Binder` and set up validation. Build responsive layouts and configure grids. Add tests for the UI using Playwright or TestBench.</t>
        </is>
      </c>
    </row>
    <row r="90" ht="16.15" customHeight="1" s="6">
      <c r="A90" s="5" t="inlineStr">
        <is>
          <t>Client Portal &amp; Stakeholder Collaboration</t>
        </is>
      </c>
      <c r="B90" s="5" t="inlineStr">
        <is>
          <t>Client accounts &amp; permissions</t>
        </is>
      </c>
      <c r="C90" s="5" t="inlineStr">
        <is>
          <t>Create and manage client accounts</t>
        </is>
      </c>
      <c r="D90" s="5" t="inlineStr">
        <is>
          <t>Audit:</t>
        </is>
      </c>
      <c r="E90" s="5" t="inlineStr">
        <is>
          <t>Todo</t>
        </is>
      </c>
      <c r="F90" s="5" t="n">
        <v>1</v>
      </c>
      <c r="G90" s="8" t="inlineStr">
        <is>
          <t>Implement logging of client actions for compliance.</t>
        </is>
      </c>
    </row>
    <row r="91" ht="74.8" customHeight="1" s="6">
      <c r="A91" s="5" t="inlineStr">
        <is>
          <t>Client Portal &amp; Stakeholder Collaboration</t>
        </is>
      </c>
      <c r="B91" s="5" t="inlineStr">
        <is>
          <t>Client accounts &amp; permissions</t>
        </is>
      </c>
      <c r="C91" s="5" t="inlineStr">
        <is>
          <t>Create and manage client accounts</t>
        </is>
      </c>
      <c r="D91" s="5" t="inlineStr">
        <is>
          <t>Tests:</t>
        </is>
      </c>
      <c r="E91" s="5" t="inlineStr">
        <is>
          <t>Todo</t>
        </is>
      </c>
      <c r="F91" s="5" t="n">
        <v>2</v>
      </c>
      <c r="G91" s="8" t="inlineStr">
        <is>
          <t>Unit tests for access control; UI tests for client portal.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92" ht="30.8" customHeight="1" s="6">
      <c r="A92" s="5" t="inlineStr">
        <is>
          <t>Client Portal &amp; Stakeholder Collaboration</t>
        </is>
      </c>
      <c r="B92" s="5" t="inlineStr">
        <is>
          <t>Client accounts &amp; permissions</t>
        </is>
      </c>
      <c r="C92" s="5" t="inlineStr">
        <is>
          <t>Create and manage client accounts</t>
        </is>
      </c>
      <c r="D92" s="5" t="inlineStr">
        <is>
          <t>Documentation:</t>
        </is>
      </c>
      <c r="E92" s="5" t="inlineStr">
        <is>
          <t>Todo</t>
        </is>
      </c>
      <c r="F92" s="5" t="n">
        <v>1</v>
      </c>
      <c r="G92" s="8" t="inlineStr">
        <is>
          <t>Document how to create client accounts and configure portal access. Steps: Update documentation to reflect new features. Add code samples and usage examples.</t>
        </is>
      </c>
    </row>
    <row r="93" ht="74.8" customHeight="1" s="6">
      <c r="A93" s="5" t="inlineStr">
        <is>
          <t>Client Portal &amp; Stakeholder Collaboration</t>
        </is>
      </c>
      <c r="B93" s="5" t="inlineStr">
        <is>
          <t>Collaborative feedback and approvals</t>
        </is>
      </c>
      <c r="C93" s="5" t="inlineStr">
        <is>
          <t>Collect client feedback and approvals</t>
        </is>
      </c>
      <c r="D93" s="5" t="inlineStr">
        <is>
          <t>Feedback entity:</t>
        </is>
      </c>
      <c r="E93" s="5" t="inlineStr">
        <is>
          <t>Todo</t>
        </is>
      </c>
      <c r="F93" s="5" t="n">
        <v>2</v>
      </c>
      <c r="G93" s="8" t="inlineStr">
        <is>
          <t>Create `CClientFeedback` and `CDeliverableApproval` entities with fields for feedback text, rating, approval status, timestamps and relations to sprints/activities.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is>
      </c>
    </row>
    <row r="94" ht="60.15" customHeight="1" s="6">
      <c r="A94" s="5" t="inlineStr">
        <is>
          <t>Client Portal &amp; Stakeholder Collaboration</t>
        </is>
      </c>
      <c r="B94" s="5" t="inlineStr">
        <is>
          <t>Collaborative feedback and approvals</t>
        </is>
      </c>
      <c r="C94" s="5" t="inlineStr">
        <is>
          <t>Collect client feedback and approvals</t>
        </is>
      </c>
      <c r="D94" s="5" t="inlineStr">
        <is>
          <t>Service layer:</t>
        </is>
      </c>
      <c r="E94" s="5" t="inlineStr">
        <is>
          <t>Todo</t>
        </is>
      </c>
      <c r="F94" s="5" t="n">
        <v>1</v>
      </c>
      <c r="G94" s="8" t="inlineStr">
        <is>
          <t>Implement `CClientFeedbackService` and `CDeliverableApprovalService` for CRUD and workflow operations.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95" ht="74.8" customHeight="1" s="6">
      <c r="A95" s="5" t="inlineStr">
        <is>
          <t>Client Portal &amp; Stakeholder Collaboration</t>
        </is>
      </c>
      <c r="B95" s="5" t="inlineStr">
        <is>
          <t>Collaborative feedback and approvals</t>
        </is>
      </c>
      <c r="C95" s="5" t="inlineStr">
        <is>
          <t>Collect client feedback and approvals</t>
        </is>
      </c>
      <c r="D95" s="5" t="inlineStr">
        <is>
          <t>UI:</t>
        </is>
      </c>
      <c r="E95" s="5" t="inlineStr">
        <is>
          <t>Todo</t>
        </is>
      </c>
      <c r="F95" s="5" t="n">
        <v>2</v>
      </c>
      <c r="G95" s="8" t="inlineStr">
        <is>
          <t>Add feedback forms and approval buttons to the client portal.  For internal users, display client feedback and approval status on sprint and activity pages. Steps: Create a Vaadin page extending the appropriate abstract page. Inject services via the constructor. Bind fields using `Binder` and set up validation. Build responsive layouts and configure grids. Add tests for the UI using Playwright or TestBench.</t>
        </is>
      </c>
    </row>
    <row r="96" ht="16.15" customHeight="1" s="6">
      <c r="A96" s="5" t="inlineStr">
        <is>
          <t>Client Portal &amp; Stakeholder Collaboration</t>
        </is>
      </c>
      <c r="B96" s="5" t="inlineStr">
        <is>
          <t>Collaborative feedback and approvals</t>
        </is>
      </c>
      <c r="C96" s="5" t="inlineStr">
        <is>
          <t>Collect client feedback and approvals</t>
        </is>
      </c>
      <c r="D96" s="5" t="inlineStr">
        <is>
          <t>Integration:</t>
        </is>
      </c>
      <c r="E96" s="5" t="inlineStr">
        <is>
          <t>Todo</t>
        </is>
      </c>
      <c r="F96" s="5" t="n">
        <v>1</v>
      </c>
      <c r="G96" s="8" t="inlineStr">
        <is>
          <t>Use the notification system to inform internal users when feedback or approvals are submitted.</t>
        </is>
      </c>
    </row>
    <row r="97" ht="74.8" customHeight="1" s="6">
      <c r="A97" s="5" t="inlineStr">
        <is>
          <t>Client Portal &amp; Stakeholder Collaboration</t>
        </is>
      </c>
      <c r="B97" s="5" t="inlineStr">
        <is>
          <t>Collaborative feedback and approvals</t>
        </is>
      </c>
      <c r="C97" s="5" t="inlineStr">
        <is>
          <t>Collect client feedback and approvals</t>
        </is>
      </c>
      <c r="D97" s="5" t="inlineStr">
        <is>
          <t>Tests:</t>
        </is>
      </c>
      <c r="E97" s="5" t="inlineStr">
        <is>
          <t>Todo</t>
        </is>
      </c>
      <c r="F97" s="5" t="n">
        <v>2</v>
      </c>
      <c r="G97" s="8" t="inlineStr">
        <is>
          <t>Unit tests for approval logic; UI tests for feedback submission and display.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98" ht="74.8" customHeight="1" s="6">
      <c r="A98" s="5" t="inlineStr">
        <is>
          <t>Client Portal &amp; Stakeholder Collaboration</t>
        </is>
      </c>
      <c r="B98" s="5" t="inlineStr">
        <is>
          <t>Collaborative feedback and approvals</t>
        </is>
      </c>
      <c r="C98" s="5" t="inlineStr">
        <is>
          <t>Collect client feedback and approvals</t>
        </is>
      </c>
      <c r="D98" s="5" t="inlineStr">
        <is>
          <t>Documentation:</t>
        </is>
      </c>
      <c r="E98" s="5" t="inlineStr">
        <is>
          <t>Todo</t>
        </is>
      </c>
      <c r="F98" s="5" t="n">
        <v>2</v>
      </c>
      <c r="G98" s="8" t="inlineStr">
        <is>
          <t>Provide guidelines for clients on giving feedback and approving deliverables.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99" ht="118.75" customHeight="1" s="6">
      <c r="A99" s="5" t="inlineStr">
        <is>
          <t>AI &amp; Automation</t>
        </is>
      </c>
      <c r="B99" s="5" t="inlineStr">
        <is>
          <t>Intelligent recommendations</t>
        </is>
      </c>
      <c r="C99" s="5" t="inlineStr">
        <is>
          <t>Suggest backlog priorities</t>
        </is>
      </c>
      <c r="D99" s="5" t="inlineStr">
        <is>
          <t>Data model:</t>
        </is>
      </c>
      <c r="E99" s="5" t="inlineStr">
        <is>
          <t>Todo</t>
        </is>
      </c>
      <c r="F99" s="5" t="n">
        <v>3</v>
      </c>
      <c r="G99" s="8" t="inlineStr">
        <is>
          <t>Add `businessImpact` field to backlog items.  Create a `CRecommendationService` that calculates an estimated complexity score based on past data and uses a weighted formula to suggest priority.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100" ht="104.1" customHeight="1" s="6">
      <c r="A100" s="5" t="inlineStr">
        <is>
          <t>AI &amp; Automation</t>
        </is>
      </c>
      <c r="B100" s="5" t="inlineStr">
        <is>
          <t>Intelligent recommendations</t>
        </is>
      </c>
      <c r="C100" s="5" t="inlineStr">
        <is>
          <t>Suggest backlog priorities</t>
        </is>
      </c>
      <c r="D100" s="5" t="inlineStr">
        <is>
          <t>UI:</t>
        </is>
      </c>
      <c r="E100" s="5" t="inlineStr">
        <is>
          <t>Todo</t>
        </is>
      </c>
      <c r="F100" s="5" t="n">
        <v>2</v>
      </c>
      <c r="G100" s="8" t="inlineStr">
        <is>
          <t>In `CBacklogBoardPage`, display recommended priority next to the editable priority field.  Provide an “Apply Suggestion” button.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is>
      </c>
    </row>
    <row r="101" ht="30.8" customHeight="1" s="6">
      <c r="A101" s="5" t="inlineStr">
        <is>
          <t>AI &amp; Automation</t>
        </is>
      </c>
      <c r="B101" s="5" t="inlineStr">
        <is>
          <t>Intelligent recommendations</t>
        </is>
      </c>
      <c r="C101" s="5" t="inlineStr">
        <is>
          <t>Suggest backlog priorities</t>
        </is>
      </c>
      <c r="D101" s="5" t="inlineStr">
        <is>
          <t>Algorithm:</t>
        </is>
      </c>
      <c r="E101" s="5" t="inlineStr">
        <is>
          <t>Todo</t>
        </is>
      </c>
      <c r="F101" s="5" t="n">
        <v>1</v>
      </c>
      <c r="G101" s="8" t="inlineStr">
        <is>
          <t>Implement an initial heuristic using linear regression or simpler analytics.  Over time, integrate a machine‑learning model trained on historical Derbent data.</t>
        </is>
      </c>
    </row>
    <row r="102" ht="74.8" customHeight="1" s="6">
      <c r="A102" s="5" t="inlineStr">
        <is>
          <t>AI &amp; Automation</t>
        </is>
      </c>
      <c r="B102" s="5" t="inlineStr">
        <is>
          <t>Intelligent recommendations</t>
        </is>
      </c>
      <c r="C102" s="5" t="inlineStr">
        <is>
          <t>Suggest backlog priorities</t>
        </is>
      </c>
      <c r="D102" s="5" t="inlineStr">
        <is>
          <t>Tests:</t>
        </is>
      </c>
      <c r="E102" s="5" t="inlineStr">
        <is>
          <t>Todo</t>
        </is>
      </c>
      <c r="F102" s="5" t="n">
        <v>2</v>
      </c>
      <c r="G102" s="8" t="inlineStr">
        <is>
          <t>Unit tests for recommendation calculations; UI tests for suggestion display.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03" ht="30.8" customHeight="1" s="6">
      <c r="A103" s="5" t="inlineStr">
        <is>
          <t>AI &amp; Automation</t>
        </is>
      </c>
      <c r="B103" s="5" t="inlineStr">
        <is>
          <t>Intelligent recommendations</t>
        </is>
      </c>
      <c r="C103" s="5" t="inlineStr">
        <is>
          <t>Suggest backlog priorities</t>
        </is>
      </c>
      <c r="D103" s="5" t="inlineStr">
        <is>
          <t>Documentation:</t>
        </is>
      </c>
      <c r="E103" s="5" t="inlineStr">
        <is>
          <t>Todo</t>
        </is>
      </c>
      <c r="F103" s="5" t="n">
        <v>1</v>
      </c>
      <c r="G103" s="8" t="inlineStr">
        <is>
          <t>Document how recommendations are calculated and how to accept or override them. Steps: Update documentation to reflect new features. Add code samples and usage examples.</t>
        </is>
      </c>
    </row>
    <row r="104" ht="74.8" customHeight="1" s="6">
      <c r="A104" s="5" t="inlineStr">
        <is>
          <t>AI &amp; Automation</t>
        </is>
      </c>
      <c r="B104" s="5" t="inlineStr">
        <is>
          <t>Natural language summaries and insights</t>
        </is>
      </c>
      <c r="C104" s="5" t="inlineStr">
        <is>
          <t>Summarise meeting minutes and discussions</t>
        </is>
      </c>
      <c r="D104" s="5" t="inlineStr">
        <is>
          <t>NLP integration:</t>
        </is>
      </c>
      <c r="E104" s="5" t="inlineStr">
        <is>
          <t>Todo</t>
        </is>
      </c>
      <c r="F104" s="5" t="n">
        <v>2</v>
      </c>
      <c r="G104" s="8" t="inlineStr">
        <is>
          <t>Integrate an external AI service (OpenAI, HuggingFace, etc.) via API.  Provide a wrapper service `CAISummaryService` that sends meeting notes or comments and receives summaries.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105" ht="104.1" customHeight="1" s="6">
      <c r="A105" s="5" t="inlineStr">
        <is>
          <t>AI &amp; Automation</t>
        </is>
      </c>
      <c r="B105" s="5" t="inlineStr">
        <is>
          <t>Natural language summaries and insights</t>
        </is>
      </c>
      <c r="C105" s="5" t="inlineStr">
        <is>
          <t>Summarise meeting minutes and discussions</t>
        </is>
      </c>
      <c r="D105" s="5" t="inlineStr">
        <is>
          <t>UI integration:</t>
        </is>
      </c>
      <c r="E105" s="5" t="inlineStr">
        <is>
          <t>Todo</t>
        </is>
      </c>
      <c r="F105" s="5" t="n">
        <v>2</v>
      </c>
      <c r="G105" s="8" t="inlineStr">
        <is>
          <t>Add a “Generate Summary” button to meeting pages and comment threads.  Display the generated summary in a read‑only field with an edit option.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is>
      </c>
    </row>
    <row r="106" ht="30.8" customHeight="1" s="6">
      <c r="A106" s="5" t="inlineStr">
        <is>
          <t>AI &amp; Automation</t>
        </is>
      </c>
      <c r="B106" s="5" t="inlineStr">
        <is>
          <t>Natural language summaries and insights</t>
        </is>
      </c>
      <c r="C106" s="5" t="inlineStr">
        <is>
          <t>Summarise meeting minutes and discussions</t>
        </is>
      </c>
      <c r="D106" s="5" t="inlineStr">
        <is>
          <t>Security:</t>
        </is>
      </c>
      <c r="E106" s="5" t="inlineStr">
        <is>
          <t>Todo</t>
        </is>
      </c>
      <c r="F106" s="5" t="n">
        <v>1</v>
      </c>
      <c r="G106" s="8" t="inlineStr">
        <is>
          <t>Ensure sensitive data is anonymised or processed securely.  Provide configuration to enable or disable AI summarisation.</t>
        </is>
      </c>
    </row>
    <row r="107" ht="74.8" customHeight="1" s="6">
      <c r="A107" s="5" t="inlineStr">
        <is>
          <t>AI &amp; Automation</t>
        </is>
      </c>
      <c r="B107" s="5" t="inlineStr">
        <is>
          <t>Natural language summaries and insights</t>
        </is>
      </c>
      <c r="C107" s="5" t="inlineStr">
        <is>
          <t>Summarise meeting minutes and discussions</t>
        </is>
      </c>
      <c r="D107" s="5" t="inlineStr">
        <is>
          <t>Tests:</t>
        </is>
      </c>
      <c r="E107" s="5" t="inlineStr">
        <is>
          <t>Todo</t>
        </is>
      </c>
      <c r="F107" s="5" t="n">
        <v>2</v>
      </c>
      <c r="G107" s="8" t="inlineStr">
        <is>
          <t>Write integration tests with mocked AI responses; UI tests for summarisation features.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08" ht="30.8" customHeight="1" s="6">
      <c r="A108" s="5" t="inlineStr">
        <is>
          <t>AI &amp; Automation</t>
        </is>
      </c>
      <c r="B108" s="5" t="inlineStr">
        <is>
          <t>Natural language summaries and insights</t>
        </is>
      </c>
      <c r="C108" s="5" t="inlineStr">
        <is>
          <t>Summarise meeting minutes and discussions</t>
        </is>
      </c>
      <c r="D108" s="5" t="inlineStr">
        <is>
          <t>Documentation:</t>
        </is>
      </c>
      <c r="E108" s="5" t="inlineStr">
        <is>
          <t>Todo</t>
        </is>
      </c>
      <c r="F108" s="5" t="n">
        <v>1</v>
      </c>
      <c r="G108" s="8" t="inlineStr">
        <is>
          <t>Explain how summarisation works and privacy considerations. Steps: Update documentation to reflect new features. Add code samples and usage examples.</t>
        </is>
      </c>
    </row>
    <row r="109" ht="16.15" customHeight="1" s="6">
      <c r="A109" s="5" t="inlineStr">
        <is>
          <t>AI &amp; Automation</t>
        </is>
      </c>
      <c r="B109" s="5" t="inlineStr">
        <is>
          <t>Predictive analytics</t>
        </is>
      </c>
      <c r="C109" s="5" t="inlineStr">
        <is>
          <t>Forecast project completion and risk</t>
        </is>
      </c>
      <c r="D109" s="5" t="inlineStr">
        <is>
          <t>Data preparation:</t>
        </is>
      </c>
      <c r="E109" s="5" t="inlineStr">
        <is>
          <t>Todo</t>
        </is>
      </c>
      <c r="F109" s="5" t="n">
        <v>1</v>
      </c>
      <c r="G109" s="8" t="inlineStr">
        <is>
          <t>Collect historical progress data from completed sprints, timesheets and activities.</t>
        </is>
      </c>
    </row>
    <row r="110" ht="74.8" customHeight="1" s="6">
      <c r="A110" s="5" t="inlineStr">
        <is>
          <t>AI &amp; Automation</t>
        </is>
      </c>
      <c r="B110" s="5" t="inlineStr">
        <is>
          <t>Predictive analytics</t>
        </is>
      </c>
      <c r="C110" s="5" t="inlineStr">
        <is>
          <t>Forecast project completion and risk</t>
        </is>
      </c>
      <c r="D110" s="5" t="inlineStr">
        <is>
          <t>Model:</t>
        </is>
      </c>
      <c r="E110" s="5" t="inlineStr">
        <is>
          <t>Todo</t>
        </is>
      </c>
      <c r="F110" s="5" t="n">
        <v>2</v>
      </c>
      <c r="G110" s="8" t="inlineStr">
        <is>
          <t>Start with simple trend‑based forecasting (e.g., linear extrapolation) and gradually integrate machine‑learning models (e.g., time‑series forecasting).  Implement in `CPredictiveAnalyticsService`.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111" ht="104.1" customHeight="1" s="6">
      <c r="A111" s="5" t="inlineStr">
        <is>
          <t>AI &amp; Automation</t>
        </is>
      </c>
      <c r="B111" s="5" t="inlineStr">
        <is>
          <t>Predictive analytics</t>
        </is>
      </c>
      <c r="C111" s="5" t="inlineStr">
        <is>
          <t>Forecast project completion and risk</t>
        </is>
      </c>
      <c r="D111" s="5" t="inlineStr">
        <is>
          <t>Risk detection:</t>
        </is>
      </c>
      <c r="E111" s="5" t="inlineStr">
        <is>
          <t>Todo</t>
        </is>
      </c>
      <c r="F111" s="5" t="n">
        <v>2</v>
      </c>
      <c r="G111" s="8" t="inlineStr">
        <is>
          <t>Extend `CActivityService` to calculate variance and risk flags.  Add a new view `CAtRiskActivitiesPage` listing items with high variance or overdue status.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12" ht="16.15" customHeight="1" s="6">
      <c r="A112" s="5" t="inlineStr">
        <is>
          <t>AI &amp; Automation</t>
        </is>
      </c>
      <c r="B112" s="5" t="inlineStr">
        <is>
          <t>Predictive analytics</t>
        </is>
      </c>
      <c r="C112" s="5" t="inlineStr">
        <is>
          <t>Forecast project completion and risk</t>
        </is>
      </c>
      <c r="D112" s="5" t="inlineStr">
        <is>
          <t>Dashboards:</t>
        </is>
      </c>
      <c r="E112" s="5" t="inlineStr">
        <is>
          <t>Todo</t>
        </is>
      </c>
      <c r="F112" s="5" t="n">
        <v>1</v>
      </c>
      <c r="G112" s="8" t="inlineStr">
        <is>
          <t>Display forecast completion dates and risk flags on project and sprint dashboards.</t>
        </is>
      </c>
    </row>
    <row r="113" ht="74.8" customHeight="1" s="6">
      <c r="A113" s="5" t="inlineStr">
        <is>
          <t>AI &amp; Automation</t>
        </is>
      </c>
      <c r="B113" s="5" t="inlineStr">
        <is>
          <t>Predictive analytics</t>
        </is>
      </c>
      <c r="C113" s="5" t="inlineStr">
        <is>
          <t>Forecast project completion and risk</t>
        </is>
      </c>
      <c r="D113" s="5" t="inlineStr">
        <is>
          <t>Tests:</t>
        </is>
      </c>
      <c r="E113" s="5" t="inlineStr">
        <is>
          <t>Todo</t>
        </is>
      </c>
      <c r="F113" s="5" t="n">
        <v>2</v>
      </c>
      <c r="G113" s="8" t="inlineStr">
        <is>
          <t>Unit tests for forecasting algorithms; UI tests for risk flagging.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14" ht="30.8" customHeight="1" s="6">
      <c r="A114" s="5" t="inlineStr">
        <is>
          <t>AI &amp; Automation</t>
        </is>
      </c>
      <c r="B114" s="5" t="inlineStr">
        <is>
          <t>Predictive analytics</t>
        </is>
      </c>
      <c r="C114" s="5" t="inlineStr">
        <is>
          <t>Forecast project completion and risk</t>
        </is>
      </c>
      <c r="D114" s="5" t="inlineStr">
        <is>
          <t>Documentation:</t>
        </is>
      </c>
      <c r="E114" s="5" t="inlineStr">
        <is>
          <t>Todo</t>
        </is>
      </c>
      <c r="F114" s="5" t="n">
        <v>1</v>
      </c>
      <c r="G114" s="8" t="inlineStr">
        <is>
          <t>Document the predictive analytics features and their limitations. Steps: Update documentation to reflect new features. Add code samples and usage examples.</t>
        </is>
      </c>
    </row>
    <row r="115" ht="162.75" customHeight="1" s="6">
      <c r="A115" s="5" t="inlineStr">
        <is>
          <t>Notifications &amp; Integrations</t>
        </is>
      </c>
      <c r="B115" s="5" t="inlineStr">
        <is>
          <t>In‑app and email notifications</t>
        </is>
      </c>
      <c r="C115" s="5" t="inlineStr">
        <is>
          <t>Receive updates on relevant events</t>
        </is>
      </c>
      <c r="D115" s="5" t="inlineStr">
        <is>
          <t>Notification infrastructure:</t>
        </is>
      </c>
      <c r="E115" s="5" t="inlineStr">
        <is>
          <t>Todo</t>
        </is>
      </c>
      <c r="F115" s="5" t="n">
        <v>3</v>
      </c>
      <c r="G115" s="8" t="inlineStr">
        <is>
          <t>Build a publish–subscribe system (`CNotificationService`) where modules emit events and subscribers receive notifications.  Provide a `CNotificationPreference` entity to store user preferences.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16" ht="30.8" customHeight="1" s="6">
      <c r="A116" s="5" t="inlineStr">
        <is>
          <t>Notifications &amp; Integrations</t>
        </is>
      </c>
      <c r="B116" s="5" t="inlineStr">
        <is>
          <t>In‑app and email notifications</t>
        </is>
      </c>
      <c r="C116" s="5" t="inlineStr">
        <is>
          <t>Receive updates on relevant events</t>
        </is>
      </c>
      <c r="D116" s="5" t="inlineStr">
        <is>
          <t>Delivery channels:</t>
        </is>
      </c>
      <c r="E116" s="5" t="inlineStr">
        <is>
          <t>Todo</t>
        </is>
      </c>
      <c r="F116" s="5" t="n">
        <v>1</v>
      </c>
      <c r="G116" s="8" t="inlineStr">
        <is>
          <t>Implement email sending via Spring Mail and in‑app notifications via a Vaadin `CNotificationCenter` component.  Provide templates for each notification type.</t>
        </is>
      </c>
    </row>
    <row r="117" ht="60.15" customHeight="1" s="6">
      <c r="A117" s="5" t="inlineStr">
        <is>
          <t>Notifications &amp; Integrations</t>
        </is>
      </c>
      <c r="B117" s="5" t="inlineStr">
        <is>
          <t>In‑app and email notifications</t>
        </is>
      </c>
      <c r="C117" s="5" t="inlineStr">
        <is>
          <t>Receive updates on relevant events</t>
        </is>
      </c>
      <c r="D117" s="5" t="inlineStr">
        <is>
          <t>Preferences UI:</t>
        </is>
      </c>
      <c r="E117" s="5" t="inlineStr">
        <is>
          <t>Todo</t>
        </is>
      </c>
      <c r="F117" s="5" t="n">
        <v>1</v>
      </c>
      <c r="G117" s="8" t="inlineStr">
        <is>
          <t>Create `CNotificationSettingsPage` where users can manage their preferences. Steps: Create a Vaadin page extending the appropriate abstract page. Inject services via the constructor. Bind fields using `Binder` and set up validation. Build responsive layouts and configure grids. Add tests for the UI using Playwright or TestBench.</t>
        </is>
      </c>
    </row>
    <row r="118" ht="74.8" customHeight="1" s="6">
      <c r="A118" s="5" t="inlineStr">
        <is>
          <t>Notifications &amp; Integrations</t>
        </is>
      </c>
      <c r="B118" s="5" t="inlineStr">
        <is>
          <t>In‑app and email notifications</t>
        </is>
      </c>
      <c r="C118" s="5" t="inlineStr">
        <is>
          <t>Receive updates on relevant events</t>
        </is>
      </c>
      <c r="D118" s="5" t="inlineStr">
        <is>
          <t>Tests:</t>
        </is>
      </c>
      <c r="E118" s="5" t="inlineStr">
        <is>
          <t>Todo</t>
        </is>
      </c>
      <c r="F118" s="5" t="n">
        <v>2</v>
      </c>
      <c r="G118" s="8" t="inlineStr">
        <is>
          <t>Unit tests for event publishing and preference filtering; UI tests for notification centre.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19" ht="30.8" customHeight="1" s="6">
      <c r="A119" s="5" t="inlineStr">
        <is>
          <t>Notifications &amp; Integrations</t>
        </is>
      </c>
      <c r="B119" s="5" t="inlineStr">
        <is>
          <t>In‑app and email notifications</t>
        </is>
      </c>
      <c r="C119" s="5" t="inlineStr">
        <is>
          <t>Receive updates on relevant events</t>
        </is>
      </c>
      <c r="D119" s="5" t="inlineStr">
        <is>
          <t>Documentation:</t>
        </is>
      </c>
      <c r="E119" s="5" t="inlineStr">
        <is>
          <t>Todo</t>
        </is>
      </c>
      <c r="F119" s="5" t="n">
        <v>1</v>
      </c>
      <c r="G119" s="8" t="inlineStr">
        <is>
          <t>Document how to manage notification preferences. Steps: Update documentation to reflect new features. Add code samples and usage examples.</t>
        </is>
      </c>
    </row>
    <row r="120" ht="60.15" customHeight="1" s="6">
      <c r="A120" s="5" t="inlineStr">
        <is>
          <t>Notifications &amp; Integrations</t>
        </is>
      </c>
      <c r="B120" s="5" t="inlineStr">
        <is>
          <t>External integrations (email, Slack, Git)**</t>
        </is>
      </c>
      <c r="C120" s="5" t="inlineStr">
        <is>
          <t>Integrate with Slack for real‑time updates</t>
        </is>
      </c>
      <c r="D120" s="5" t="inlineStr">
        <is>
          <t>Slack integration:</t>
        </is>
      </c>
      <c r="E120" s="5" t="inlineStr">
        <is>
          <t>Todo</t>
        </is>
      </c>
      <c r="F120" s="5" t="n">
        <v>2</v>
      </c>
      <c r="G120" s="8" t="inlineStr">
        <is>
          <t>Create a module to send messages to configured Slack webhooks.  Provide configuration UI in the admin settings. Steps: Create a Vaadin page extending the appropriate abstract page. Inject services via the constructor. Bind fields using `Binder` and set up validation. Build responsive layouts and configure grids. Add tests for the UI using Playwright or TestBench.</t>
        </is>
      </c>
    </row>
    <row r="121" ht="60.15" customHeight="1" s="6">
      <c r="A121" s="5" t="inlineStr">
        <is>
          <t>Notifications &amp; Integrations</t>
        </is>
      </c>
      <c r="B121" s="5" t="inlineStr">
        <is>
          <t>External integrations (email, Slack, Git)**</t>
        </is>
      </c>
      <c r="C121" s="5" t="inlineStr">
        <is>
          <t>Integrate with Slack for real‑time updates</t>
        </is>
      </c>
      <c r="D121" s="5" t="inlineStr">
        <is>
          <t>Event mapping:</t>
        </is>
      </c>
      <c r="E121" s="5" t="inlineStr">
        <is>
          <t>Todo</t>
        </is>
      </c>
      <c r="F121" s="5" t="n">
        <v>2</v>
      </c>
      <c r="G121" s="8" t="inlineStr">
        <is>
          <t>Extend `CNotificationService` to send Slack notifications based on event type and project settings. Steps: Create a repository interface extending Spring Data JPA. Implement a service class extending the appropriate base service. Inject dependencies via the constructor (no field injection). Implement CRUD operations and validation logic. Write unit tests for the service methods.</t>
        </is>
      </c>
    </row>
    <row r="122" ht="16.15" customHeight="1" s="6">
      <c r="A122" s="5" t="inlineStr">
        <is>
          <t>Notifications &amp; Integrations</t>
        </is>
      </c>
      <c r="B122" s="5" t="inlineStr">
        <is>
          <t>External integrations (email, Slack, Git)**</t>
        </is>
      </c>
      <c r="C122" s="5" t="inlineStr">
        <is>
          <t>Integrate with Slack for real‑time updates</t>
        </is>
      </c>
      <c r="D122" s="5" t="inlineStr">
        <is>
          <t>Error handling:</t>
        </is>
      </c>
      <c r="E122" s="5" t="inlineStr">
        <is>
          <t>Todo</t>
        </is>
      </c>
      <c r="F122" s="5" t="n">
        <v>1</v>
      </c>
      <c r="G122" s="8" t="inlineStr">
        <is>
          <t>Implement retry logic and error logging.  Notify administrators if messages fail.</t>
        </is>
      </c>
    </row>
    <row r="123" ht="74.8" customHeight="1" s="6">
      <c r="A123" s="5" t="inlineStr">
        <is>
          <t>Notifications &amp; Integrations</t>
        </is>
      </c>
      <c r="B123" s="5" t="inlineStr">
        <is>
          <t>External integrations (email, Slack, Git)**</t>
        </is>
      </c>
      <c r="C123" s="5" t="inlineStr">
        <is>
          <t>Integrate with Slack for real‑time updates</t>
        </is>
      </c>
      <c r="D123" s="5" t="inlineStr">
        <is>
          <t>Tests:</t>
        </is>
      </c>
      <c r="E123" s="5" t="inlineStr">
        <is>
          <t>Todo</t>
        </is>
      </c>
      <c r="F123" s="5" t="n">
        <v>2</v>
      </c>
      <c r="G123" s="8" t="inlineStr">
        <is>
          <t>Integration tests with Slack (using a mock server); UI tests for configuration.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24" ht="30.8" customHeight="1" s="6">
      <c r="A124" s="5" t="inlineStr">
        <is>
          <t>Notifications &amp; Integrations</t>
        </is>
      </c>
      <c r="B124" s="5" t="inlineStr">
        <is>
          <t>External integrations (email, Slack, Git)**</t>
        </is>
      </c>
      <c r="C124" s="5" t="inlineStr">
        <is>
          <t>Integrate with Slack for real‑time updates</t>
        </is>
      </c>
      <c r="D124" s="5" t="inlineStr">
        <is>
          <t>Documentation:</t>
        </is>
      </c>
      <c r="E124" s="5" t="inlineStr">
        <is>
          <t>Todo</t>
        </is>
      </c>
      <c r="F124" s="5" t="n">
        <v>1</v>
      </c>
      <c r="G124" s="8" t="inlineStr">
        <is>
          <t>Document how to configure Slack integration. Steps: Update documentation to reflect new features. Add code samples and usage examples.</t>
        </is>
      </c>
    </row>
    <row r="125" ht="16.15" customHeight="1" s="6">
      <c r="A125" s="5" t="inlineStr">
        <is>
          <t>Quality Assurance &amp; Testing Automation</t>
        </is>
      </c>
      <c r="B125" s="5" t="inlineStr">
        <is>
          <t>End‑to‑end test suite</t>
        </is>
      </c>
      <c r="C125" s="5" t="inlineStr">
        <is>
          <t>Automated tests for core workflows</t>
        </is>
      </c>
      <c r="D125" s="5" t="inlineStr">
        <is>
          <t>Test scenarios:</t>
        </is>
      </c>
      <c r="E125" s="5" t="inlineStr">
        <is>
          <t>Todo</t>
        </is>
      </c>
      <c r="F125" s="5" t="n">
        <v>1</v>
      </c>
      <c r="G125" s="8" t="inlineStr">
        <is>
          <t>Identify core workflows and write Playwright test scripts for each.  Store scripts in the `/test` directory.</t>
        </is>
      </c>
    </row>
    <row r="126" ht="45.45" customHeight="1" s="6">
      <c r="A126" s="5" t="inlineStr">
        <is>
          <t>Quality Assurance &amp; Testing Automation</t>
        </is>
      </c>
      <c r="B126" s="5" t="inlineStr">
        <is>
          <t>End‑to‑end test suite</t>
        </is>
      </c>
      <c r="C126" s="5" t="inlineStr">
        <is>
          <t>Automated tests for core workflows</t>
        </is>
      </c>
      <c r="D126" s="5" t="inlineStr">
        <is>
          <t>CI integration:</t>
        </is>
      </c>
      <c r="E126" s="5" t="inlineStr">
        <is>
          <t>Todo</t>
        </is>
      </c>
      <c r="F126" s="5" t="n">
        <v>1</v>
      </c>
      <c r="G126" s="8" t="inlineStr">
        <is>
          <t>Integrate tests into the CI pipeline.  Provide GitHub Action or similar configuration to run tests on every pull request. Steps: Write unit tests covering edge cases and logic. Add integration tests for data flow. Implement UI tests where applicable.</t>
        </is>
      </c>
    </row>
    <row r="127" ht="60.15" customHeight="1" s="6">
      <c r="A127" s="5" t="inlineStr">
        <is>
          <t>Quality Assurance &amp; Testing Automation</t>
        </is>
      </c>
      <c r="B127" s="5" t="inlineStr">
        <is>
          <t>End‑to‑end test suite</t>
        </is>
      </c>
      <c r="C127" s="5" t="inlineStr">
        <is>
          <t>Automated tests for core workflows</t>
        </is>
      </c>
      <c r="D127" s="5" t="inlineStr">
        <is>
          <t>Reporting:</t>
        </is>
      </c>
      <c r="E127" s="5" t="inlineStr">
        <is>
          <t>Todo</t>
        </is>
      </c>
      <c r="F127" s="5" t="n">
        <v>2</v>
      </c>
      <c r="G127" s="8" t="inlineStr">
        <is>
          <t>Use Allure or a similar framework to generate test reports.  Publish results as build artefacts. Steps: Create a Vaadin page extending the appropriate abstract page. Inject services via the constructor. Bind fields using `Binder` and set up validation. Build responsive layouts and configure grids. Add tests for the UI using Playwright or TestBench.</t>
        </is>
      </c>
    </row>
    <row r="128" ht="74.8" customHeight="1" s="6">
      <c r="A128" s="5" t="inlineStr">
        <is>
          <t>Quality Assurance &amp; Testing Automation</t>
        </is>
      </c>
      <c r="B128" s="5" t="inlineStr">
        <is>
          <t>End‑to‑end test suite</t>
        </is>
      </c>
      <c r="C128" s="5" t="inlineStr">
        <is>
          <t>Automated tests for core workflows</t>
        </is>
      </c>
      <c r="D128" s="5" t="inlineStr">
        <is>
          <t>Maintenance:</t>
        </is>
      </c>
      <c r="E128" s="5" t="inlineStr">
        <is>
          <t>Todo</t>
        </is>
      </c>
      <c r="F128" s="5" t="n">
        <v>2</v>
      </c>
      <c r="G128" s="8" t="inlineStr">
        <is>
          <t>Establish guidelines for updating tests when UI changes.  Assign test ownership to team members.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29" ht="45.45" customHeight="1" s="6">
      <c r="A129" s="5" t="inlineStr">
        <is>
          <t>Quality Assurance &amp; Testing Automation</t>
        </is>
      </c>
      <c r="B129" s="5" t="inlineStr">
        <is>
          <t>End‑to‑end test suite</t>
        </is>
      </c>
      <c r="C129" s="5" t="inlineStr">
        <is>
          <t>Automated tests for core workflows</t>
        </is>
      </c>
      <c r="D129" s="5" t="inlineStr">
        <is>
          <t>Documentation:</t>
        </is>
      </c>
      <c r="E129" s="5" t="inlineStr">
        <is>
          <t>Todo</t>
        </is>
      </c>
      <c r="F129" s="5" t="n">
        <v>1</v>
      </c>
      <c r="G129" s="8" t="inlineStr">
        <is>
          <t>Document how to run end‑to‑end tests locally and in CI. Steps: Write unit tests covering edge cases and logic. Add integration tests for data flow. Implement UI tests where applicable. Update documentation to reflect new features. Add code samples and usage examples.</t>
        </is>
      </c>
    </row>
    <row r="130" ht="74.8" customHeight="1" s="6">
      <c r="A130" s="5" t="inlineStr">
        <is>
          <t>Quality Assurance &amp; Testing Automation</t>
        </is>
      </c>
      <c r="B130" s="5" t="inlineStr">
        <is>
          <t>Code quality and static analysis</t>
        </is>
      </c>
      <c r="C130" s="5" t="inlineStr">
        <is>
          <t>Enforce coding standards</t>
        </is>
      </c>
      <c r="D130" s="5" t="inlineStr">
        <is>
          <t>Tool integration:</t>
        </is>
      </c>
      <c r="E130" s="5" t="inlineStr">
        <is>
          <t>Todo</t>
        </is>
      </c>
      <c r="F130" s="5" t="n">
        <v>2</v>
      </c>
      <c r="G130" s="8" t="inlineStr">
        <is>
          <t>Add plugins to the Maven/Gradle build to run Checkstyle, PMD, SpotBugs and Dependency Check.  Configure rulesets according to the organisation’s standards. Steps: Create a Vaadin page extending the appropriate abstract page. Inject services via the constructor. Bind fields using `Binder` and set up validation. Build responsive layouts and configure grids. Add tests for the UI using Playwright or TestBench.</t>
        </is>
      </c>
    </row>
    <row r="131" ht="30.8" customHeight="1" s="6">
      <c r="A131" s="5" t="inlineStr">
        <is>
          <t>Quality Assurance &amp; Testing Automation</t>
        </is>
      </c>
      <c r="B131" s="5" t="inlineStr">
        <is>
          <t>Code quality and static analysis</t>
        </is>
      </c>
      <c r="C131" s="5" t="inlineStr">
        <is>
          <t>Enforce coding standards</t>
        </is>
      </c>
      <c r="D131" s="5" t="inlineStr">
        <is>
          <t>Coverage reporting:</t>
        </is>
      </c>
      <c r="E131" s="5" t="inlineStr">
        <is>
          <t>Todo</t>
        </is>
      </c>
      <c r="F131" s="5" t="n">
        <v>1</v>
      </c>
      <c r="G131" s="8" t="inlineStr">
        <is>
          <t>Integrate JaCoCo for code coverage.  Publish coverage reports to CI.  Set minimum coverage thresholds for modules (e.g., 80 %).</t>
        </is>
      </c>
    </row>
    <row r="132" ht="16.15" customHeight="1" s="6">
      <c r="A132" s="5" t="inlineStr">
        <is>
          <t>Quality Assurance &amp; Testing Automation</t>
        </is>
      </c>
      <c r="B132" s="5" t="inlineStr">
        <is>
          <t>Code quality and static analysis</t>
        </is>
      </c>
      <c r="C132" s="5" t="inlineStr">
        <is>
          <t>Enforce coding standards</t>
        </is>
      </c>
      <c r="D132" s="5" t="inlineStr">
        <is>
          <t>Security scanning:</t>
        </is>
      </c>
      <c r="E132" s="5" t="inlineStr">
        <is>
          <t>Todo</t>
        </is>
      </c>
      <c r="F132" s="5" t="n">
        <v>1</v>
      </c>
      <c r="G132" s="8" t="inlineStr">
        <is>
          <t>Add OWASP Dependency Check to detect vulnerable dependencies.  Configure periodic scans.</t>
        </is>
      </c>
    </row>
    <row r="133" ht="74.8" customHeight="1" s="6">
      <c r="A133" s="5" t="inlineStr">
        <is>
          <t>Quality Assurance &amp; Testing Automation</t>
        </is>
      </c>
      <c r="B133" s="5" t="inlineStr">
        <is>
          <t>Code quality and static analysis</t>
        </is>
      </c>
      <c r="C133" s="5" t="inlineStr">
        <is>
          <t>Enforce coding standards</t>
        </is>
      </c>
      <c r="D133" s="5" t="inlineStr">
        <is>
          <t>Documentation:</t>
        </is>
      </c>
      <c r="E133" s="5" t="inlineStr">
        <is>
          <t>Todo</t>
        </is>
      </c>
      <c r="F133" s="5" t="n">
        <v>2</v>
      </c>
      <c r="G133" s="8" t="inlineStr">
        <is>
          <t>Provide guidelines on writing clean code, referencing the existing architecture patterns documents.  Document how to run static analysis tools locally. Steps: Create a Vaadin page extending the appropriate abstract page. Inject services via the constructor. Bind fields using `Binder` and set up validation. Build responsive layouts and configure grids. Add tests for the UI using Playwright or TestBench. Update documentation to reflect new features. Add code samples and usage examples.</t>
        </is>
      </c>
    </row>
    <row r="134" ht="60.15" customHeight="1" s="6">
      <c r="A134" s="5" t="inlineStr">
        <is>
          <t>Internationalisation (I18n) &amp; Accessibility</t>
        </is>
      </c>
      <c r="B134" s="5" t="inlineStr">
        <is>
          <t>Internationalisation</t>
        </is>
      </c>
      <c r="C134" s="5" t="inlineStr">
        <is>
          <t>Support multiple languages</t>
        </is>
      </c>
      <c r="D134" s="5" t="inlineStr">
        <is>
          <t>I18n framework:</t>
        </is>
      </c>
      <c r="E134" s="5" t="inlineStr">
        <is>
          <t>Todo</t>
        </is>
      </c>
      <c r="F134" s="5" t="n">
        <v>2</v>
      </c>
      <c r="G134" s="8" t="inlineStr">
        <is>
          <t>Integrate Vaadin’s built‑in I18n support or Spring’s message source.  Externalise all hard‑coded strings into resource bundles. Steps: Create a Vaadin page extending the appropriate abstract page. Inject services via the constructor. Bind fields using `Binder` and set up validation. Build responsive layouts and configure grids. Add tests for the UI using Playwright or TestBench.</t>
        </is>
      </c>
    </row>
    <row r="135" ht="74.8" customHeight="1" s="6">
      <c r="A135" s="5" t="inlineStr">
        <is>
          <t>Internationalisation (I18n) &amp; Accessibility</t>
        </is>
      </c>
      <c r="B135" s="5" t="inlineStr">
        <is>
          <t>Internationalisation</t>
        </is>
      </c>
      <c r="C135" s="5" t="inlineStr">
        <is>
          <t>Support multiple languages</t>
        </is>
      </c>
      <c r="D135" s="5" t="inlineStr">
        <is>
          <t>Locale selection:</t>
        </is>
      </c>
      <c r="E135" s="5" t="inlineStr">
        <is>
          <t>Todo</t>
        </is>
      </c>
      <c r="F135" s="5" t="n">
        <v>2</v>
      </c>
      <c r="G135" s="8" t="inlineStr">
        <is>
          <t>Add a language selector component to the UI (e.g., in the top bar) and persist the preference in the user profile.  Modify `LocaleContext` to use the user’s locale. Steps: Create a Vaadin page extending the appropriate abstract page. Inject services via the constructor. Bind fields using `Binder` and set up validation. Build responsive layouts and configure grids. Add tests for the UI using Playwright or TestBench.</t>
        </is>
      </c>
    </row>
    <row r="136" ht="30.8" customHeight="1" s="6">
      <c r="A136" s="5" t="inlineStr">
        <is>
          <t>Internationalisation (I18n) &amp; Accessibility</t>
        </is>
      </c>
      <c r="B136" s="5" t="inlineStr">
        <is>
          <t>Internationalisation</t>
        </is>
      </c>
      <c r="C136" s="5" t="inlineStr">
        <is>
          <t>Support multiple languages</t>
        </is>
      </c>
      <c r="D136" s="5" t="inlineStr">
        <is>
          <t>Translation files:</t>
        </is>
      </c>
      <c r="E136" s="5" t="inlineStr">
        <is>
          <t>Todo</t>
        </is>
      </c>
      <c r="F136" s="5" t="n">
        <v>1</v>
      </c>
      <c r="G136" s="8" t="inlineStr">
        <is>
          <t>Provide initial translations for Turkish (matching the user’s timezone location).  Document how to add more languages.</t>
        </is>
      </c>
    </row>
    <row r="137" ht="74.8" customHeight="1" s="6">
      <c r="A137" s="5" t="inlineStr">
        <is>
          <t>Internationalisation (I18n) &amp; Accessibility</t>
        </is>
      </c>
      <c r="B137" s="5" t="inlineStr">
        <is>
          <t>Internationalisation</t>
        </is>
      </c>
      <c r="C137" s="5" t="inlineStr">
        <is>
          <t>Support multiple languages</t>
        </is>
      </c>
      <c r="D137" s="5" t="inlineStr">
        <is>
          <t>Tests:</t>
        </is>
      </c>
      <c r="E137" s="5" t="inlineStr">
        <is>
          <t>Todo</t>
        </is>
      </c>
      <c r="F137" s="5" t="n">
        <v>2</v>
      </c>
      <c r="G137" s="8" t="inlineStr">
        <is>
          <t>Unit tests to ensure translations load correctly; UI tests for switching languages. Steps: Create a Vaadin page extending the appropriate abstract page. Inject services via the constructor. Bind fields using `Binder` and set up validation. Build responsive layouts and configure grids. Add tests for the UI using Playwright or TestBench. Write unit tests covering edge cases and logic. Add integration tests for data flow. Implement UI tests where applicable.</t>
        </is>
      </c>
    </row>
    <row r="138" ht="30.8" customHeight="1" s="6">
      <c r="A138" s="5" t="inlineStr">
        <is>
          <t>Internationalisation (I18n) &amp; Accessibility</t>
        </is>
      </c>
      <c r="B138" s="5" t="inlineStr">
        <is>
          <t>Internationalisation</t>
        </is>
      </c>
      <c r="C138" s="5" t="inlineStr">
        <is>
          <t>Support multiple languages</t>
        </is>
      </c>
      <c r="D138" s="5" t="inlineStr">
        <is>
          <t>Documentation:</t>
        </is>
      </c>
      <c r="E138" s="5" t="inlineStr">
        <is>
          <t>Todo</t>
        </is>
      </c>
      <c r="F138" s="5" t="n">
        <v>1</v>
      </c>
      <c r="G138" s="8" t="inlineStr">
        <is>
          <t>Explain how to add translations and manage message bundles. Steps: Update documentation to reflect new features. Add code samples and usage examples.</t>
        </is>
      </c>
    </row>
    <row r="139" ht="60.15" customHeight="1" s="6">
      <c r="A139" s="5" t="inlineStr">
        <is>
          <t>Internationalisation (I18n) &amp; Accessibility</t>
        </is>
      </c>
      <c r="B139" s="5" t="inlineStr">
        <is>
          <t>Accessibility (a11y)</t>
        </is>
      </c>
      <c r="C139" s="5" t="inlineStr">
        <is>
          <t>Ensure compliance with accessibility standards</t>
        </is>
      </c>
      <c r="D139" s="5" t="inlineStr">
        <is>
          <t>Accessibility audit:</t>
        </is>
      </c>
      <c r="E139" s="5" t="inlineStr">
        <is>
          <t>Todo</t>
        </is>
      </c>
      <c r="F139" s="5" t="n">
        <v>2</v>
      </c>
      <c r="G139" s="8" t="inlineStr">
        <is>
          <t>Use tools like Axe or Lighthouse to audit the existing UI for accessibility issues.  Identify and prioritise fixes. Steps: Create a Vaadin page extending the appropriate abstract page. Inject services via the constructor. Bind fields using `Binder` and set up validation. Build responsive layouts and configure grids. Add tests for the UI using Playwright or TestBench.</t>
        </is>
      </c>
    </row>
    <row r="140" ht="30.8" customHeight="1" s="6">
      <c r="A140" s="5" t="inlineStr">
        <is>
          <t>Internationalisation (I18n) &amp; Accessibility</t>
        </is>
      </c>
      <c r="B140" s="5" t="inlineStr">
        <is>
          <t>Accessibility (a11y)</t>
        </is>
      </c>
      <c r="C140" s="5" t="inlineStr">
        <is>
          <t>Ensure compliance with accessibility standards</t>
        </is>
      </c>
      <c r="D140" s="5" t="inlineStr">
        <is>
          <t>Theming:</t>
        </is>
      </c>
      <c r="E140" s="5" t="inlineStr">
        <is>
          <t>Todo</t>
        </is>
      </c>
      <c r="F140" s="5" t="n">
        <v>1</v>
      </c>
      <c r="G140" s="8" t="inlineStr">
        <is>
          <t>Provide alternate themes with high contrast.  Use CSS variables to adjust colours; allow users to switch themes in their profile.</t>
        </is>
      </c>
    </row>
    <row r="141" ht="30.8" customHeight="1" s="6">
      <c r="A141" s="5" t="inlineStr">
        <is>
          <t>Internationalisation (I18n) &amp; Accessibility</t>
        </is>
      </c>
      <c r="B141" s="5" t="inlineStr">
        <is>
          <t>Accessibility (a11y)</t>
        </is>
      </c>
      <c r="C141" s="5" t="inlineStr">
        <is>
          <t>Ensure compliance with accessibility standards</t>
        </is>
      </c>
      <c r="D141" s="5" t="inlineStr">
        <is>
          <t>Keyboard navigation:</t>
        </is>
      </c>
      <c r="E141" s="5" t="inlineStr">
        <is>
          <t>Todo</t>
        </is>
      </c>
      <c r="F141" s="5" t="n">
        <v>1</v>
      </c>
      <c r="G141" s="8" t="inlineStr">
        <is>
          <t>Ensure all interactive elements are reachable via keyboard and have focus outlines.  Add skip links to bypass navigation.</t>
        </is>
      </c>
    </row>
    <row r="142" ht="60.15" customHeight="1" s="6">
      <c r="A142" s="5" t="inlineStr">
        <is>
          <t>Internationalisation (I18n) &amp; Accessibility</t>
        </is>
      </c>
      <c r="B142" s="5" t="inlineStr">
        <is>
          <t>Accessibility (a11y)</t>
        </is>
      </c>
      <c r="C142" s="5" t="inlineStr">
        <is>
          <t>Ensure compliance with accessibility standards</t>
        </is>
      </c>
      <c r="D142" s="5" t="inlineStr">
        <is>
          <t>Testing:</t>
        </is>
      </c>
      <c r="E142" s="5" t="inlineStr">
        <is>
          <t>Todo</t>
        </is>
      </c>
      <c r="F142" s="5" t="n">
        <v>2</v>
      </c>
      <c r="G142" s="8" t="inlineStr">
        <is>
          <t>Include accessibility checks in the test suite.  Write manual QA guidelines for a11y testing. Steps: Create a Vaadin page extending the appropriate abstract page. Inject services via the constructor. Bind fields using `Binder` and set up validation. Build responsive layouts and configure grids. Add tests for the UI using Playwright or TestBench.</t>
        </is>
      </c>
    </row>
    <row r="143" ht="30.8" customHeight="1" s="6">
      <c r="A143" s="5" t="inlineStr">
        <is>
          <t>Internationalisation (I18n) &amp; Accessibility</t>
        </is>
      </c>
      <c r="B143" s="5" t="inlineStr">
        <is>
          <t>Accessibility (a11y)</t>
        </is>
      </c>
      <c r="C143" s="5" t="inlineStr">
        <is>
          <t>Ensure compliance with accessibility standards</t>
        </is>
      </c>
      <c r="D143" s="5" t="inlineStr">
        <is>
          <t>Documentation:</t>
        </is>
      </c>
      <c r="E143" s="5" t="inlineStr">
        <is>
          <t>Todo</t>
        </is>
      </c>
      <c r="F143" s="5" t="n">
        <v>1</v>
      </c>
      <c r="G143" s="8" t="inlineStr">
        <is>
          <t>Explain accessibility features and how to enable high contrast mode. Steps: Update documentation to reflect new features. Add code samples and usage examples.</t>
        </is>
      </c>
    </row>
    <row r="144" ht="74.8" customHeight="1" s="6">
      <c r="A144" s="5" t="inlineStr">
        <is>
          <t>Internationalisation (I18n) &amp; Accessibility</t>
        </is>
      </c>
      <c r="B144" s="5" t="inlineStr">
        <is>
          <t>Accessibility (a11y)</t>
        </is>
      </c>
      <c r="C144" s="5" t="inlineStr">
        <is>
          <t>Ensure compliance with accessibility standards</t>
        </is>
      </c>
      <c r="D144" s="5" t="inlineStr">
        <is>
          <t>Styling &amp; icons</t>
        </is>
      </c>
      <c r="E144" s="5" t="inlineStr">
        <is>
          <t>Todo</t>
        </is>
      </c>
      <c r="F144" s="5" t="n">
        <v>2</v>
      </c>
      <c r="G144" s="8" t="inlineStr">
        <is>
          <t>– Apply the Derbent theme to budget, income and expense pages; choose appropriate money and chart icons for menus and buttons; use colour‑coded grids to highlight cost variance. Steps: Create a Vaadin page extending the appropriate abstract page. Inject services via the constructor. Bind fields using `Binder` and set up validation. Build responsive layouts and configure grids. Add tests for the UI using Playwright or TestBench.</t>
        </is>
      </c>
    </row>
    <row r="145" ht="16.15" customHeight="1" s="6">
      <c r="A145" s="5" t="inlineStr">
        <is>
          <t>Internationalisation (I18n) &amp; Accessibility</t>
        </is>
      </c>
      <c r="B145" s="5" t="inlineStr">
        <is>
          <t>Accessibility (a11y)</t>
        </is>
      </c>
      <c r="C145" s="5" t="inlineStr">
        <is>
          <t>Ensure compliance with accessibility standards</t>
        </is>
      </c>
      <c r="D145" s="5" t="inlineStr">
        <is>
          <t>Drag‑and‑drop</t>
        </is>
      </c>
      <c r="E145" s="5" t="inlineStr">
        <is>
          <t>Todo</t>
        </is>
      </c>
      <c r="F145" s="5" t="n">
        <v>1</v>
      </c>
      <c r="G145" s="8" t="inlineStr">
        <is>
          <t>– Not applicable.</t>
        </is>
      </c>
    </row>
    <row r="146" ht="60.15" customHeight="1" s="6">
      <c r="A146" s="5" t="inlineStr">
        <is>
          <t>Internationalisation (I18n) &amp; Accessibility</t>
        </is>
      </c>
      <c r="B146" s="5" t="inlineStr">
        <is>
          <t>Accessibility (a11y)</t>
        </is>
      </c>
      <c r="C146" s="5" t="inlineStr">
        <is>
          <t>Ensure compliance with accessibility standards</t>
        </is>
      </c>
      <c r="D146" s="5" t="inlineStr">
        <is>
          <t>Reporting</t>
        </is>
      </c>
      <c r="E146" s="5" t="inlineStr">
        <is>
          <t>Todo</t>
        </is>
      </c>
      <c r="F146" s="5" t="n">
        <v>2</v>
      </c>
      <c r="G146" s="8" t="inlineStr">
        <is>
          <t>– Build financial dashboards with bar/line charts showing budgets versus actuals; include exports. Steps: Create a Vaadin page extending the appropriate abstract page. Inject services via the constructor. Bind fields using `Binder` and set up validation. Build responsive layouts and configure grids. Add tests for the UI using Playwright or TestBench.</t>
        </is>
      </c>
    </row>
    <row r="147" ht="119.9" customHeight="1" s="6">
      <c r="A147" s="5" t="inlineStr">
        <is>
          <t>Internationalisation (I18n) &amp; Accessibility</t>
        </is>
      </c>
      <c r="B147" s="5" t="inlineStr">
        <is>
          <t>Accessibility (a11y)</t>
        </is>
      </c>
      <c r="C147" s="5" t="inlineStr">
        <is>
          <t>Ensure compliance with accessibility standards</t>
        </is>
      </c>
      <c r="D147" s="5" t="inlineStr">
        <is>
          <t>CRUD</t>
        </is>
      </c>
      <c r="E147" s="5" t="inlineStr">
        <is>
          <t>Todo</t>
        </is>
      </c>
      <c r="F147" s="5" t="n">
        <v>2</v>
      </c>
      <c r="G147" s="8" t="inlineStr">
        <is>
          <t>– Implement entities `CProjectBudget`, `CProjectIncome` and `CProjectExpense`, their services and Vaadin pages using Binder and `CGrid`【850071896481142†L165-L183】.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48" ht="30.8" customHeight="1" s="6">
      <c r="A148" s="5" t="inlineStr">
        <is>
          <t>Internationalisation (I18n) &amp; Accessibility</t>
        </is>
      </c>
      <c r="B148" s="5" t="inlineStr">
        <is>
          <t>Accessibility (a11y)</t>
        </is>
      </c>
      <c r="C148" s="5" t="inlineStr">
        <is>
          <t>Ensure compliance with accessibility standards</t>
        </is>
      </c>
      <c r="D148" s="5" t="inlineStr">
        <is>
          <t>Validation</t>
        </is>
      </c>
      <c r="E148" s="5" t="inlineStr">
        <is>
          <t>Todo</t>
        </is>
      </c>
      <c r="F148" s="5" t="n">
        <v>1</v>
      </c>
      <c r="G148" s="8" t="inlineStr">
        <is>
          <t>– Ensure amounts and budgets are positive, currencies are selected and editing is restricted to authorised roles.</t>
        </is>
      </c>
    </row>
    <row r="149" ht="60.15" customHeight="1" s="6">
      <c r="A149" s="5" t="inlineStr">
        <is>
          <t>Internationalisation (I18n) &amp; Accessibility</t>
        </is>
      </c>
      <c r="B149" s="5" t="inlineStr">
        <is>
          <t>Accessibility (a11y)</t>
        </is>
      </c>
      <c r="C149" s="5" t="inlineStr">
        <is>
          <t>Ensure compliance with accessibility standards</t>
        </is>
      </c>
      <c r="D149" s="5" t="inlineStr">
        <is>
          <t>Styling &amp; icons</t>
        </is>
      </c>
      <c r="E149" s="5" t="inlineStr">
        <is>
          <t>Todo</t>
        </is>
      </c>
      <c r="F149" s="5" t="n">
        <v>2</v>
      </c>
      <c r="G149" s="8" t="inlineStr">
        <is>
          <t>– Design resource and timesheet pages using responsive layouts and icons for people vs. equipment. Steps: Create a Vaadin page extending the appropriate abstract page. Inject services via the constructor. Bind fields using `Binder` and set up validation. Build responsive layouts and configure grids. Add tests for the UI using Playwright or TestBench.</t>
        </is>
      </c>
    </row>
    <row r="150" ht="60.15" customHeight="1" s="6">
      <c r="A150" s="5" t="inlineStr">
        <is>
          <t>Internationalisation (I18n) &amp; Accessibility</t>
        </is>
      </c>
      <c r="B150" s="5" t="inlineStr">
        <is>
          <t>Accessibility (a11y)</t>
        </is>
      </c>
      <c r="C150" s="5" t="inlineStr">
        <is>
          <t>Ensure compliance with accessibility standards</t>
        </is>
      </c>
      <c r="D150" s="5" t="inlineStr">
        <is>
          <t>Drag‑and‑drop</t>
        </is>
      </c>
      <c r="E150" s="5" t="inlineStr">
        <is>
          <t>Todo</t>
        </is>
      </c>
      <c r="F150" s="5" t="n">
        <v>1</v>
      </c>
      <c r="G150" s="8" t="inlineStr">
        <is>
          <t>– Optional: allow reordering of resource assignments in the capacity view. Steps: Create a Vaadin page extending the appropriate abstract page. Inject services via the constructor. Bind fields using `Binder` and set up validation. Build responsive layouts and configure grids. Add tests for the UI using Playwright or TestBench.</t>
        </is>
      </c>
    </row>
    <row r="151" ht="16.15" customHeight="1" s="6">
      <c r="A151" s="5" t="inlineStr">
        <is>
          <t>Internationalisation (I18n) &amp; Accessibility</t>
        </is>
      </c>
      <c r="B151" s="5" t="inlineStr">
        <is>
          <t>Accessibility (a11y)</t>
        </is>
      </c>
      <c r="C151" s="5" t="inlineStr">
        <is>
          <t>Ensure compliance with accessibility standards</t>
        </is>
      </c>
      <c r="D151" s="5" t="inlineStr">
        <is>
          <t>Reporting</t>
        </is>
      </c>
      <c r="E151" s="5" t="inlineStr">
        <is>
          <t>Todo</t>
        </is>
      </c>
      <c r="F151" s="5" t="n">
        <v>1</v>
      </c>
      <c r="G151" s="8" t="inlineStr">
        <is>
          <t>– Create capacity and utilisation charts; allow drill‑down into resource contributions.</t>
        </is>
      </c>
    </row>
    <row r="152" ht="104.1" customHeight="1" s="6">
      <c r="A152" s="5" t="inlineStr">
        <is>
          <t>Internationalisation (I18n) &amp; Accessibility</t>
        </is>
      </c>
      <c r="B152" s="5" t="inlineStr">
        <is>
          <t>Accessibility (a11y)</t>
        </is>
      </c>
      <c r="C152" s="5" t="inlineStr">
        <is>
          <t>Ensure compliance with accessibility standards</t>
        </is>
      </c>
      <c r="D152" s="5" t="inlineStr">
        <is>
          <t>CRUD</t>
        </is>
      </c>
      <c r="E152" s="5" t="inlineStr">
        <is>
          <t>Todo</t>
        </is>
      </c>
      <c r="F152" s="5" t="n">
        <v>2</v>
      </c>
      <c r="G152" s="8" t="inlineStr">
        <is>
          <t>– Implement `CResource`, `CProjectResourceAssignment` and `CTimesheetEntry` with services and pages.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53" ht="30.8" customHeight="1" s="6">
      <c r="A153" s="5" t="inlineStr">
        <is>
          <t>Internationalisation (I18n) &amp; Accessibility</t>
        </is>
      </c>
      <c r="B153" s="5" t="inlineStr">
        <is>
          <t>Accessibility (a11y)</t>
        </is>
      </c>
      <c r="C153" s="5" t="inlineStr">
        <is>
          <t>Ensure compliance with accessibility standards</t>
        </is>
      </c>
      <c r="D153" s="5" t="inlineStr">
        <is>
          <t>Validation</t>
        </is>
      </c>
      <c r="E153" s="5" t="inlineStr">
        <is>
          <t>Todo</t>
        </is>
      </c>
      <c r="F153" s="5" t="n">
        <v>1</v>
      </c>
      <c r="G153" s="8" t="inlineStr">
        <is>
          <t>– Detect overlapping assignments, ensure timesheet hours fall within 0–24 and restrict entries to the current user unless approved.</t>
        </is>
      </c>
    </row>
    <row r="154" ht="60.15" customHeight="1" s="6">
      <c r="A154" s="5" t="inlineStr">
        <is>
          <t>Internationalisation (I18n) &amp; Accessibility</t>
        </is>
      </c>
      <c r="B154" s="5" t="inlineStr">
        <is>
          <t>Accessibility (a11y)</t>
        </is>
      </c>
      <c r="C154" s="5" t="inlineStr">
        <is>
          <t>Ensure compliance with accessibility standards</t>
        </is>
      </c>
      <c r="D154" s="5" t="inlineStr">
        <is>
          <t>Styling &amp; icons</t>
        </is>
      </c>
      <c r="E154" s="5" t="inlineStr">
        <is>
          <t>Todo</t>
        </is>
      </c>
      <c r="F154" s="5" t="n">
        <v>2</v>
      </c>
      <c r="G154" s="8" t="inlineStr">
        <is>
          <t>– Build drag‑and‑drop upload components with clear drop zones and file type icons; support preview dialogs. Steps: Create a Vaadin page extending the appropriate abstract page. Inject services via the constructor. Bind fields using `Binder` and set up validation. Build responsive layouts and configure grids. Add tests for the UI using Playwright or TestBench.</t>
        </is>
      </c>
    </row>
    <row r="155" ht="33.05" customHeight="1" s="6">
      <c r="A155" s="5" t="inlineStr">
        <is>
          <t>Internationalisation (I18n) &amp; Accessibility</t>
        </is>
      </c>
      <c r="B155" s="5" t="inlineStr">
        <is>
          <t>Accessibility (a11y)</t>
        </is>
      </c>
      <c r="C155" s="5" t="inlineStr">
        <is>
          <t>Ensure compliance with accessibility standards</t>
        </is>
      </c>
      <c r="D155" s="5" t="inlineStr">
        <is>
          <t>Drag‑and‑drop</t>
        </is>
      </c>
      <c r="E155" s="5" t="inlineStr">
        <is>
          <t>Todo</t>
        </is>
      </c>
      <c r="F155" s="5" t="n">
        <v>1</v>
      </c>
      <c r="G155" s="8" t="inlineStr">
        <is>
          <t>– Implement drag‑and‑drop file upload using Vaadin’s `Upload` component【850071896481142†L470-L485】.</t>
        </is>
      </c>
    </row>
    <row r="156" ht="16.15" customHeight="1" s="6">
      <c r="A156" s="5" t="inlineStr">
        <is>
          <t>Internationalisation (I18n) &amp; Accessibility</t>
        </is>
      </c>
      <c r="B156" s="5" t="inlineStr">
        <is>
          <t>Accessibility (a11y)</t>
        </is>
      </c>
      <c r="C156" s="5" t="inlineStr">
        <is>
          <t>Ensure compliance with accessibility standards</t>
        </is>
      </c>
      <c r="D156" s="5" t="inlineStr">
        <is>
          <t>Reporting</t>
        </is>
      </c>
      <c r="E156" s="5" t="inlineStr">
        <is>
          <t>Todo</t>
        </is>
      </c>
      <c r="F156" s="5" t="n">
        <v>1</v>
      </c>
      <c r="G156" s="8" t="inlineStr">
        <is>
          <t>– Optionally provide storage usage reports per project.</t>
        </is>
      </c>
    </row>
    <row r="157" ht="148.1" customHeight="1" s="6">
      <c r="A157" s="5" t="inlineStr">
        <is>
          <t>Internationalisation (I18n) &amp; Accessibility</t>
        </is>
      </c>
      <c r="B157" s="5" t="inlineStr">
        <is>
          <t>Accessibility (a11y)</t>
        </is>
      </c>
      <c r="C157" s="5" t="inlineStr">
        <is>
          <t>Ensure compliance with accessibility standards</t>
        </is>
      </c>
      <c r="D157" s="5" t="inlineStr">
        <is>
          <t>CRUD</t>
        </is>
      </c>
      <c r="E157" s="5" t="inlineStr">
        <is>
          <t>Todo</t>
        </is>
      </c>
      <c r="F157" s="5" t="n">
        <v>3</v>
      </c>
      <c r="G157" s="8" t="inlineStr">
        <is>
          <t>– Define `CAttachment` entity and service; embed attachment lists and download/delete actions in project and activity pages.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58" ht="16.15" customHeight="1" s="6">
      <c r="A158" s="5" t="inlineStr">
        <is>
          <t>Internationalisation (I18n) &amp; Accessibility</t>
        </is>
      </c>
      <c r="B158" s="5" t="inlineStr">
        <is>
          <t>Accessibility (a11y)</t>
        </is>
      </c>
      <c r="C158" s="5" t="inlineStr">
        <is>
          <t>Ensure compliance with accessibility standards</t>
        </is>
      </c>
      <c r="D158" s="5" t="inlineStr">
        <is>
          <t>Validation</t>
        </is>
      </c>
      <c r="E158" s="5" t="inlineStr">
        <is>
          <t>Todo</t>
        </is>
      </c>
      <c r="F158" s="5" t="n">
        <v>1</v>
      </c>
      <c r="G158" s="8" t="inlineStr">
        <is>
          <t>– Enforce file type restrictions, size limits and versioning; inherit permissions from parent entities.</t>
        </is>
      </c>
    </row>
    <row r="159" ht="60.15" customHeight="1" s="6">
      <c r="A159" s="5" t="inlineStr">
        <is>
          <t>Internationalisation (I18n) &amp; Accessibility</t>
        </is>
      </c>
      <c r="B159" s="5" t="inlineStr">
        <is>
          <t>Accessibility (a11y)</t>
        </is>
      </c>
      <c r="C159" s="5" t="inlineStr">
        <is>
          <t>Ensure compliance with accessibility standards</t>
        </is>
      </c>
      <c r="D159" s="5" t="inlineStr">
        <is>
          <t>Styling &amp; icons</t>
        </is>
      </c>
      <c r="E159" s="5" t="inlineStr">
        <is>
          <t>Todo</t>
        </is>
      </c>
      <c r="F159" s="5" t="n">
        <v>2</v>
      </c>
      <c r="G159" s="8" t="inlineStr">
        <is>
          <t>– Design dashboards with consistent theming and intuitive icons representing metrics (e.g., velocity, risk). Steps: Create a Vaadin page extending the appropriate abstract page. Inject services via the constructor. Bind fields using `Binder` and set up validation. Build responsive layouts and configure grids. Add tests for the UI using Playwright or TestBench.</t>
        </is>
      </c>
    </row>
    <row r="160" ht="60.15" customHeight="1" s="6">
      <c r="A160" s="5" t="inlineStr">
        <is>
          <t>Internationalisation (I18n) &amp; Accessibility</t>
        </is>
      </c>
      <c r="B160" s="5" t="inlineStr">
        <is>
          <t>Accessibility (a11y)</t>
        </is>
      </c>
      <c r="C160" s="5" t="inlineStr">
        <is>
          <t>Ensure compliance with accessibility standards</t>
        </is>
      </c>
      <c r="D160" s="5" t="inlineStr">
        <is>
          <t>Drag‑and‑drop</t>
        </is>
      </c>
      <c r="E160" s="5" t="inlineStr">
        <is>
          <t>Todo</t>
        </is>
      </c>
      <c r="F160" s="5" t="n">
        <v>1</v>
      </c>
      <c r="G160" s="8" t="inlineStr">
        <is>
          <t>– Generally not required; interactions are via filters and configuration dialogs. Steps: Create a Vaadin page extending the appropriate abstract page. Inject services via the constructor. Bind fields using `Binder` and set up validation. Build responsive layouts and configure grids. Add tests for the UI using Playwright or TestBench.</t>
        </is>
      </c>
    </row>
    <row r="161" ht="60.15" customHeight="1" s="6">
      <c r="A161" s="5" t="inlineStr">
        <is>
          <t>Internationalisation (I18n) &amp; Accessibility</t>
        </is>
      </c>
      <c r="B161" s="5" t="inlineStr">
        <is>
          <t>Accessibility (a11y)</t>
        </is>
      </c>
      <c r="C161" s="5" t="inlineStr">
        <is>
          <t>Ensure compliance with accessibility standards</t>
        </is>
      </c>
      <c r="D161" s="5" t="inlineStr">
        <is>
          <t>Reporting</t>
        </is>
      </c>
      <c r="E161" s="5" t="inlineStr">
        <is>
          <t>Todo</t>
        </is>
      </c>
      <c r="F161" s="5" t="n">
        <v>2</v>
      </c>
      <c r="G161" s="8" t="inlineStr">
        <is>
          <t>– Implement burndown/velocity charts, financial and utilisation dashboards and a custom report builder with export options. Steps: Create a Vaadin page extending the appropriate abstract page. Inject services via the constructor. Bind fields using `Binder` and set up validation. Build responsive layouts and configure grids. Add tests for the UI using Playwright or TestBench.</t>
        </is>
      </c>
    </row>
    <row r="162" ht="60.15" customHeight="1" s="6">
      <c r="A162" s="5" t="inlineStr">
        <is>
          <t>Internationalisation (I18n) &amp; Accessibility</t>
        </is>
      </c>
      <c r="B162" s="5" t="inlineStr">
        <is>
          <t>Accessibility (a11y)</t>
        </is>
      </c>
      <c r="C162" s="5" t="inlineStr">
        <is>
          <t>Ensure compliance with accessibility standards</t>
        </is>
      </c>
      <c r="D162" s="5" t="inlineStr">
        <is>
          <t>CRUD</t>
        </is>
      </c>
      <c r="E162" s="5" t="inlineStr">
        <is>
          <t>Todo</t>
        </is>
      </c>
      <c r="F162" s="5" t="n">
        <v>1</v>
      </c>
      <c r="G162" s="8" t="inlineStr">
        <is>
          <t>– Create `CReportDefinition` to store report configurations and provide management pages. Steps: Create a Vaadin page extending the appropriate abstract page. Inject services via the constructor. Bind fields using `Binder` and set up validation. Build responsive layouts and configure grids. Add tests for the UI using Playwright or TestBench.</t>
        </is>
      </c>
    </row>
    <row r="163" ht="104.1" customHeight="1" s="6">
      <c r="A163" s="5" t="inlineStr">
        <is>
          <t>Internationalisation (I18n) &amp; Accessibility</t>
        </is>
      </c>
      <c r="B163" s="5" t="inlineStr">
        <is>
          <t>Accessibility (a11y)</t>
        </is>
      </c>
      <c r="C163" s="5" t="inlineStr">
        <is>
          <t>Ensure compliance with accessibility standards</t>
        </is>
      </c>
      <c r="D163" s="5" t="inlineStr">
        <is>
          <t>Validation</t>
        </is>
      </c>
      <c r="E163" s="5" t="inlineStr">
        <is>
          <t>Todo</t>
        </is>
      </c>
      <c r="F163" s="5" t="n">
        <v>2</v>
      </c>
      <c r="G163" s="8" t="inlineStr">
        <is>
          <t>– Validate user inputs (date ranges, selected fields) in the report builder and ensure safe query execution.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is>
      </c>
    </row>
    <row r="164" ht="60.15" customHeight="1" s="6">
      <c r="A164" s="5" t="inlineStr">
        <is>
          <t>Internationalisation (I18n) &amp; Accessibility</t>
        </is>
      </c>
      <c r="B164" s="5" t="inlineStr">
        <is>
          <t>Accessibility (a11y)</t>
        </is>
      </c>
      <c r="C164" s="5" t="inlineStr">
        <is>
          <t>Ensure compliance with accessibility standards</t>
        </is>
      </c>
      <c r="D164" s="5" t="inlineStr">
        <is>
          <t>Styling &amp; icons</t>
        </is>
      </c>
      <c r="E164" s="5" t="inlineStr">
        <is>
          <t>Todo</t>
        </is>
      </c>
      <c r="F164" s="5" t="n">
        <v>2</v>
      </c>
      <c r="G164" s="8" t="inlineStr">
        <is>
          <t>– Provide portfolio/program pages with summary cards and status icons; ensure timeline view is responsive. Steps: Create a Vaadin page extending the appropriate abstract page. Inject services via the constructor. Bind fields using `Binder` and set up validation. Build responsive layouts and configure grids. Add tests for the UI using Playwright or TestBench.</t>
        </is>
      </c>
    </row>
    <row r="165" ht="16.15" customHeight="1" s="6">
      <c r="A165" s="5" t="inlineStr">
        <is>
          <t>Internationalisation (I18n) &amp; Accessibility</t>
        </is>
      </c>
      <c r="B165" s="5" t="inlineStr">
        <is>
          <t>Accessibility (a11y)</t>
        </is>
      </c>
      <c r="C165" s="5" t="inlineStr">
        <is>
          <t>Ensure compliance with accessibility standards</t>
        </is>
      </c>
      <c r="D165" s="5" t="inlineStr">
        <is>
          <t>Drag‑and‑drop</t>
        </is>
      </c>
      <c r="E165" s="5" t="inlineStr">
        <is>
          <t>Todo</t>
        </is>
      </c>
      <c r="F165" s="5" t="n">
        <v>1</v>
      </c>
      <c r="G165" s="8" t="inlineStr">
        <is>
          <t>– Optionally allow dragging project milestones on timelines or reordering dependencies.</t>
        </is>
      </c>
    </row>
    <row r="166" ht="60.15" customHeight="1" s="6">
      <c r="A166" s="5" t="inlineStr">
        <is>
          <t>Internationalisation (I18n) &amp; Accessibility</t>
        </is>
      </c>
      <c r="B166" s="5" t="inlineStr">
        <is>
          <t>Accessibility (a11y)</t>
        </is>
      </c>
      <c r="C166" s="5" t="inlineStr">
        <is>
          <t>Ensure compliance with accessibility standards</t>
        </is>
      </c>
      <c r="D166" s="5" t="inlineStr">
        <is>
          <t>Reporting</t>
        </is>
      </c>
      <c r="E166" s="5" t="inlineStr">
        <is>
          <t>Todo</t>
        </is>
      </c>
      <c r="F166" s="5" t="n">
        <v>2</v>
      </c>
      <c r="G166" s="8" t="inlineStr">
        <is>
          <t>– Build portfolio dashboards summarising budgets, progress and risks; include dependency matrix and risk matrix. Steps: Create a Vaadin page extending the appropriate abstract page. Inject services via the constructor. Bind fields using `Binder` and set up validation. Build responsive layouts and configure grids. Add tests for the UI using Playwright or TestBench.</t>
        </is>
      </c>
    </row>
    <row r="167" ht="104.1" customHeight="1" s="6">
      <c r="A167" s="5" t="inlineStr">
        <is>
          <t>Internationalisation (I18n) &amp; Accessibility</t>
        </is>
      </c>
      <c r="B167" s="5" t="inlineStr">
        <is>
          <t>Accessibility (a11y)</t>
        </is>
      </c>
      <c r="C167" s="5" t="inlineStr">
        <is>
          <t>Ensure compliance with accessibility standards</t>
        </is>
      </c>
      <c r="D167" s="5" t="inlineStr">
        <is>
          <t>CRUD</t>
        </is>
      </c>
      <c r="E167" s="5" t="inlineStr">
        <is>
          <t>Todo</t>
        </is>
      </c>
      <c r="F167" s="5" t="n">
        <v>2</v>
      </c>
      <c r="G167" s="8" t="inlineStr">
        <is>
          <t>– Implement `CPortfolio`, `CProgram` and `CProjectDependency` with services and management pages.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68" ht="16.15" customHeight="1" s="6">
      <c r="A168" s="5" t="inlineStr">
        <is>
          <t>Internationalisation (I18n) &amp; Accessibility</t>
        </is>
      </c>
      <c r="B168" s="5" t="inlineStr">
        <is>
          <t>Accessibility (a11y)</t>
        </is>
      </c>
      <c r="C168" s="5" t="inlineStr">
        <is>
          <t>Ensure compliance with accessibility standards</t>
        </is>
      </c>
      <c r="D168" s="5" t="inlineStr">
        <is>
          <t>Validation</t>
        </is>
      </c>
      <c r="E168" s="5" t="inlineStr">
        <is>
          <t>Todo</t>
        </is>
      </c>
      <c r="F168" s="5" t="n">
        <v>1</v>
      </c>
      <c r="G168" s="8" t="inlineStr">
        <is>
          <t>– Enforce unique names, valid date ranges and prevent circular dependencies.</t>
        </is>
      </c>
    </row>
    <row r="169" ht="60.15" customHeight="1" s="6">
      <c r="A169" s="5" t="inlineStr">
        <is>
          <t>Internationalisation (I18n) &amp; Accessibility</t>
        </is>
      </c>
      <c r="B169" s="5" t="inlineStr">
        <is>
          <t>Accessibility (a11y)</t>
        </is>
      </c>
      <c r="C169" s="5" t="inlineStr">
        <is>
          <t>Ensure compliance with accessibility standards</t>
        </is>
      </c>
      <c r="D169" s="5" t="inlineStr">
        <is>
          <t>Styling &amp; icons</t>
        </is>
      </c>
      <c r="E169" s="5" t="inlineStr">
        <is>
          <t>Todo</t>
        </is>
      </c>
      <c r="F169" s="5" t="n">
        <v>2</v>
      </c>
      <c r="G169" s="8" t="inlineStr">
        <is>
          <t>– Create idea submission and backlog board pages with clear status icons and responsive swimlanes. Steps: Create a Vaadin page extending the appropriate abstract page. Inject services via the constructor. Bind fields using `Binder` and set up validation. Build responsive layouts and configure grids. Add tests for the UI using Playwright or TestBench.</t>
        </is>
      </c>
    </row>
    <row r="170" ht="30.8" customHeight="1" s="6">
      <c r="A170" s="5" t="inlineStr">
        <is>
          <t>Internationalisation (I18n) &amp; Accessibility</t>
        </is>
      </c>
      <c r="B170" s="5" t="inlineStr">
        <is>
          <t>Accessibility (a11y)</t>
        </is>
      </c>
      <c r="C170" s="5" t="inlineStr">
        <is>
          <t>Ensure compliance with accessibility standards</t>
        </is>
      </c>
      <c r="D170" s="5" t="inlineStr">
        <is>
          <t>Drag‑and‑drop</t>
        </is>
      </c>
      <c r="E170" s="5" t="inlineStr">
        <is>
          <t>Todo</t>
        </is>
      </c>
      <c r="F170" s="5" t="n">
        <v>1</v>
      </c>
      <c r="G170" s="8" t="inlineStr">
        <is>
          <t>– Enable drag‑and‑drop prioritisation and status changes on the backlog board using the existing Kanban components.</t>
        </is>
      </c>
    </row>
    <row r="171" ht="16.15" customHeight="1" s="6">
      <c r="A171" s="5" t="inlineStr">
        <is>
          <t>Internationalisation (I18n) &amp; Accessibility</t>
        </is>
      </c>
      <c r="B171" s="5" t="inlineStr">
        <is>
          <t>Accessibility (a11y)</t>
        </is>
      </c>
      <c r="C171" s="5" t="inlineStr">
        <is>
          <t>Ensure compliance with accessibility standards</t>
        </is>
      </c>
      <c r="D171" s="5" t="inlineStr">
        <is>
          <t>Reporting</t>
        </is>
      </c>
      <c r="E171" s="5" t="inlineStr">
        <is>
          <t>Todo</t>
        </is>
      </c>
      <c r="F171" s="5" t="n">
        <v>1</v>
      </c>
      <c r="G171" s="8" t="inlineStr">
        <is>
          <t>– Provide simple metrics such as vote counts and backlog size.</t>
        </is>
      </c>
    </row>
    <row r="172" ht="60.15" customHeight="1" s="6">
      <c r="A172" s="5" t="inlineStr">
        <is>
          <t>Internationalisation (I18n) &amp; Accessibility</t>
        </is>
      </c>
      <c r="B172" s="5" t="inlineStr">
        <is>
          <t>Accessibility (a11y)</t>
        </is>
      </c>
      <c r="C172" s="5" t="inlineStr">
        <is>
          <t>Ensure compliance with accessibility standards</t>
        </is>
      </c>
      <c r="D172" s="5" t="inlineStr">
        <is>
          <t>CRUD</t>
        </is>
      </c>
      <c r="E172" s="5" t="inlineStr">
        <is>
          <t>Todo</t>
        </is>
      </c>
      <c r="F172" s="5" t="n">
        <v>2</v>
      </c>
      <c r="G172" s="8" t="inlineStr">
        <is>
          <t>– Implement `CIdea`, `CIdeaVote` and optionally `CBacklogItem`; build pages for submission, voting and backlog management. Steps: Create a Vaadin page extending the appropriate abstract page. Inject services via the constructor. Bind fields using `Binder` and set up validation. Build responsive layouts and configure grids. Add tests for the UI using Playwright or TestBench.</t>
        </is>
      </c>
    </row>
    <row r="173" ht="104.1" customHeight="1" s="6">
      <c r="A173" s="5" t="inlineStr">
        <is>
          <t>Internationalisation (I18n) &amp; Accessibility</t>
        </is>
      </c>
      <c r="B173" s="5" t="inlineStr">
        <is>
          <t>Accessibility (a11y)</t>
        </is>
      </c>
      <c r="C173" s="5" t="inlineStr">
        <is>
          <t>Ensure compliance with accessibility standards</t>
        </is>
      </c>
      <c r="D173" s="5" t="inlineStr">
        <is>
          <t>Validation</t>
        </is>
      </c>
      <c r="E173" s="5" t="inlineStr">
        <is>
          <t>Todo</t>
        </is>
      </c>
      <c r="F173" s="5" t="n">
        <v>2</v>
      </c>
      <c r="G173" s="8" t="inlineStr">
        <is>
          <t>– Detect duplicate ideas, enforce one vote per user and require mandatory fields.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 Create a Vaadin page extending the appropriate abstract page. Inject services via the constructor. Bind fields using `Binder` and set up validation. Build responsive layouts and configure grids. Add tests for the UI using Playwright or TestBench.</t>
        </is>
      </c>
    </row>
    <row r="174" ht="60.15" customHeight="1" s="6">
      <c r="A174" s="5" t="inlineStr">
        <is>
          <t>Internationalisation (I18n) &amp; Accessibility</t>
        </is>
      </c>
      <c r="B174" s="5" t="inlineStr">
        <is>
          <t>Accessibility (a11y)</t>
        </is>
      </c>
      <c r="C174" s="5" t="inlineStr">
        <is>
          <t>Ensure compliance with accessibility standards</t>
        </is>
      </c>
      <c r="D174" s="5" t="inlineStr">
        <is>
          <t>Styling &amp; icons</t>
        </is>
      </c>
      <c r="E174" s="5" t="inlineStr">
        <is>
          <t>Todo</t>
        </is>
      </c>
      <c r="F174" s="5" t="n">
        <v>2</v>
      </c>
      <c r="G174" s="8" t="inlineStr">
        <is>
          <t>– Design issue pages with severity icons and coloured badges for status; use tabbed forms for reproduction steps and resolution details. Steps: Create a Vaadin page extending the appropriate abstract page. Inject services via the constructor. Bind fields using `Binder` and set up validation. Build responsive layouts and configure grids. Add tests for the UI using Playwright or TestBench.</t>
        </is>
      </c>
    </row>
    <row r="175" ht="16.15" customHeight="1" s="6">
      <c r="A175" s="5" t="inlineStr">
        <is>
          <t>Internationalisation (I18n) &amp; Accessibility</t>
        </is>
      </c>
      <c r="B175" s="5" t="inlineStr">
        <is>
          <t>Accessibility (a11y)</t>
        </is>
      </c>
      <c r="C175" s="5" t="inlineStr">
        <is>
          <t>Ensure compliance with accessibility standards</t>
        </is>
      </c>
      <c r="D175" s="5" t="inlineStr">
        <is>
          <t>Drag‑and‑drop</t>
        </is>
      </c>
      <c r="E175" s="5" t="inlineStr">
        <is>
          <t>Todo</t>
        </is>
      </c>
      <c r="F175" s="5" t="n">
        <v>1</v>
      </c>
      <c r="G175" s="8" t="inlineStr">
        <is>
          <t>– Optionally provide a Kanban‑style issue board for state transitions.</t>
        </is>
      </c>
    </row>
    <row r="176" ht="16.15" customHeight="1" s="6">
      <c r="A176" s="5" t="inlineStr">
        <is>
          <t>Internationalisation (I18n) &amp; Accessibility</t>
        </is>
      </c>
      <c r="B176" s="5" t="inlineStr">
        <is>
          <t>Accessibility (a11y)</t>
        </is>
      </c>
      <c r="C176" s="5" t="inlineStr">
        <is>
          <t>Ensure compliance with accessibility standards</t>
        </is>
      </c>
      <c r="D176" s="5" t="inlineStr">
        <is>
          <t>Reporting</t>
        </is>
      </c>
      <c r="E176" s="5" t="inlineStr">
        <is>
          <t>Todo</t>
        </is>
      </c>
      <c r="F176" s="5" t="n">
        <v>1</v>
      </c>
      <c r="G176" s="8" t="inlineStr">
        <is>
          <t>– Create a severity/urgency matrix and issue count charts; highlight overdue issues.</t>
        </is>
      </c>
    </row>
    <row r="177" ht="104.1" customHeight="1" s="6">
      <c r="A177" s="5" t="inlineStr">
        <is>
          <t>Internationalisation (I18n) &amp; Accessibility</t>
        </is>
      </c>
      <c r="B177" s="5" t="inlineStr">
        <is>
          <t>Accessibility (a11y)</t>
        </is>
      </c>
      <c r="C177" s="5" t="inlineStr">
        <is>
          <t>Ensure compliance with accessibility standards</t>
        </is>
      </c>
      <c r="D177" s="5" t="inlineStr">
        <is>
          <t>CRUD</t>
        </is>
      </c>
      <c r="E177" s="5" t="inlineStr">
        <is>
          <t>Todo</t>
        </is>
      </c>
      <c r="F177" s="5" t="n">
        <v>2</v>
      </c>
      <c r="G177" s="8" t="inlineStr">
        <is>
          <t>– Implement `CIssue` and `CIssueComment` with services and pages for listing, creation and editing.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78" ht="60.15" customHeight="1" s="6">
      <c r="A178" s="5" t="inlineStr">
        <is>
          <t>Internationalisation (I18n) &amp; Accessibility</t>
        </is>
      </c>
      <c r="B178" s="5" t="inlineStr">
        <is>
          <t>Accessibility (a11y)</t>
        </is>
      </c>
      <c r="C178" s="5" t="inlineStr">
        <is>
          <t>Ensure compliance with accessibility standards</t>
        </is>
      </c>
      <c r="D178" s="5" t="inlineStr">
        <is>
          <t>Validation</t>
        </is>
      </c>
      <c r="E178" s="5" t="inlineStr">
        <is>
          <t>Todo</t>
        </is>
      </c>
      <c r="F178" s="5" t="n">
        <v>2</v>
      </c>
      <c r="G178" s="8" t="inlineStr">
        <is>
          <t>– Require title, description and issue type; validate workflow transitions and severity assignments. Steps: Create a Vaadin page extending the appropriate abstract page. Inject services via the constructor. Bind fields using `Binder` and set up validation. Build responsive layouts and configure grids. Add tests for the UI using Playwright or TestBench.</t>
        </is>
      </c>
    </row>
    <row r="179" ht="60.15" customHeight="1" s="6">
      <c r="A179" s="5" t="inlineStr">
        <is>
          <t>Internationalisation (I18n) &amp; Accessibility</t>
        </is>
      </c>
      <c r="B179" s="5" t="inlineStr">
        <is>
          <t>Accessibility (a11y)</t>
        </is>
      </c>
      <c r="C179" s="5" t="inlineStr">
        <is>
          <t>Ensure compliance with accessibility standards</t>
        </is>
      </c>
      <c r="D179" s="5" t="inlineStr">
        <is>
          <t>Styling &amp; icons</t>
        </is>
      </c>
      <c r="E179" s="5" t="inlineStr">
        <is>
          <t>Todo</t>
        </is>
      </c>
      <c r="F179" s="5" t="n">
        <v>2</v>
      </c>
      <c r="G179" s="8" t="inlineStr">
        <is>
          <t>– Build a responsive calendar with colour‑coded event types and intuitive icons; incorporate a language/localisation selector for dates. Steps: Create a Vaadin page extending the appropriate abstract page. Inject services via the constructor. Bind fields using `Binder` and set up validation. Build responsive layouts and configure grids. Add tests for the UI using Playwright or TestBench.</t>
        </is>
      </c>
    </row>
    <row r="180" ht="16.15" customHeight="1" s="6">
      <c r="A180" s="5" t="inlineStr">
        <is>
          <t>Internationalisation (I18n) &amp; Accessibility</t>
        </is>
      </c>
      <c r="B180" s="5" t="inlineStr">
        <is>
          <t>Accessibility (a11y)</t>
        </is>
      </c>
      <c r="C180" s="5" t="inlineStr">
        <is>
          <t>Ensure compliance with accessibility standards</t>
        </is>
      </c>
      <c r="D180" s="5" t="inlineStr">
        <is>
          <t>Drag‑and‑drop</t>
        </is>
      </c>
      <c r="E180" s="5" t="inlineStr">
        <is>
          <t>Todo</t>
        </is>
      </c>
      <c r="F180" s="5" t="n">
        <v>1</v>
      </c>
      <c r="G180" s="8" t="inlineStr">
        <is>
          <t>– Allow users to reschedule events via drag‑and‑drop, with conflict detection and confirmation.</t>
        </is>
      </c>
    </row>
    <row r="181" ht="16.15" customHeight="1" s="6">
      <c r="A181" s="5" t="inlineStr">
        <is>
          <t>Internationalisation (I18n) &amp; Accessibility</t>
        </is>
      </c>
      <c r="B181" s="5" t="inlineStr">
        <is>
          <t>Accessibility (a11y)</t>
        </is>
      </c>
      <c r="C181" s="5" t="inlineStr">
        <is>
          <t>Ensure compliance with accessibility standards</t>
        </is>
      </c>
      <c r="D181" s="5" t="inlineStr">
        <is>
          <t>Reporting</t>
        </is>
      </c>
      <c r="E181" s="5" t="inlineStr">
        <is>
          <t>Todo</t>
        </is>
      </c>
      <c r="F181" s="5" t="n">
        <v>1</v>
      </c>
      <c r="G181" s="8" t="inlineStr">
        <is>
          <t>– Offer summaries of upcoming events and free/busy statistics.</t>
        </is>
      </c>
    </row>
    <row r="182" ht="30.8" customHeight="1" s="6">
      <c r="A182" s="5" t="inlineStr">
        <is>
          <t>Internationalisation (I18n) &amp; Accessibility</t>
        </is>
      </c>
      <c r="B182" s="5" t="inlineStr">
        <is>
          <t>Accessibility (a11y)</t>
        </is>
      </c>
      <c r="C182" s="5" t="inlineStr">
        <is>
          <t>Ensure compliance with accessibility standards</t>
        </is>
      </c>
      <c r="D182" s="5" t="inlineStr">
        <is>
          <t>CRUD</t>
        </is>
      </c>
      <c r="E182" s="5" t="inlineStr">
        <is>
          <t>Todo</t>
        </is>
      </c>
      <c r="F182" s="5" t="n">
        <v>1</v>
      </c>
      <c r="G182" s="8" t="inlineStr">
        <is>
          <t>– Aggregate events across entities; provide forms for meeting creation and editing; support iCal export.</t>
        </is>
      </c>
    </row>
    <row r="183" ht="16.15" customHeight="1" s="6">
      <c r="A183" s="5" t="inlineStr">
        <is>
          <t>Internationalisation (I18n) &amp; Accessibility</t>
        </is>
      </c>
      <c r="B183" s="5" t="inlineStr">
        <is>
          <t>Accessibility (a11y)</t>
        </is>
      </c>
      <c r="C183" s="5" t="inlineStr">
        <is>
          <t>Ensure compliance with accessibility standards</t>
        </is>
      </c>
      <c r="D183" s="5" t="inlineStr">
        <is>
          <t>Validation</t>
        </is>
      </c>
      <c r="E183" s="5" t="inlineStr">
        <is>
          <t>Todo</t>
        </is>
      </c>
      <c r="F183" s="5" t="n">
        <v>1</v>
      </c>
      <c r="G183" s="8" t="inlineStr">
        <is>
          <t>– Prevent overlapping events, respect working hours and handle timezone differences.</t>
        </is>
      </c>
    </row>
    <row r="184" ht="60.15" customHeight="1" s="6">
      <c r="A184" s="5" t="inlineStr">
        <is>
          <t>Internationalisation (I18n) &amp; Accessibility</t>
        </is>
      </c>
      <c r="B184" s="5" t="inlineStr">
        <is>
          <t>Accessibility (a11y)</t>
        </is>
      </c>
      <c r="C184" s="5" t="inlineStr">
        <is>
          <t>Ensure compliance with accessibility standards</t>
        </is>
      </c>
      <c r="D184" s="5" t="inlineStr">
        <is>
          <t>Styling &amp; icons</t>
        </is>
      </c>
      <c r="E184" s="5" t="inlineStr">
        <is>
          <t>Todo</t>
        </is>
      </c>
      <c r="F184" s="5" t="n">
        <v>2</v>
      </c>
      <c r="G184" s="8" t="inlineStr">
        <is>
          <t>– Create intuitive role management pages with icons for roles and permissions; use dual‑list selectors for assignment. Steps: Create a Vaadin page extending the appropriate abstract page. Inject services via the constructor. Bind fields using `Binder` and set up validation. Build responsive layouts and configure grids. Add tests for the UI using Playwright or TestBench.</t>
        </is>
      </c>
    </row>
    <row r="185" ht="16.15" customHeight="1" s="6">
      <c r="A185" s="5" t="inlineStr">
        <is>
          <t>Internationalisation (I18n) &amp; Accessibility</t>
        </is>
      </c>
      <c r="B185" s="5" t="inlineStr">
        <is>
          <t>Accessibility (a11y)</t>
        </is>
      </c>
      <c r="C185" s="5" t="inlineStr">
        <is>
          <t>Ensure compliance with accessibility standards</t>
        </is>
      </c>
      <c r="D185" s="5" t="inlineStr">
        <is>
          <t>Drag‑and‑drop</t>
        </is>
      </c>
      <c r="E185" s="5" t="inlineStr">
        <is>
          <t>Todo</t>
        </is>
      </c>
      <c r="F185" s="5" t="n">
        <v>1</v>
      </c>
      <c r="G185" s="8" t="inlineStr">
        <is>
          <t>– Not applicable; use list selectors.</t>
        </is>
      </c>
    </row>
    <row r="186" ht="16.15" customHeight="1" s="6">
      <c r="A186" s="5" t="inlineStr">
        <is>
          <t>Internationalisation (I18n) &amp; Accessibility</t>
        </is>
      </c>
      <c r="B186" s="5" t="inlineStr">
        <is>
          <t>Accessibility (a11y)</t>
        </is>
      </c>
      <c r="C186" s="5" t="inlineStr">
        <is>
          <t>Ensure compliance with accessibility standards</t>
        </is>
      </c>
      <c r="D186" s="5" t="inlineStr">
        <is>
          <t>Reporting</t>
        </is>
      </c>
      <c r="E186" s="5" t="inlineStr">
        <is>
          <t>Todo</t>
        </is>
      </c>
      <c r="F186" s="5" t="n">
        <v>1</v>
      </c>
      <c r="G186" s="8" t="inlineStr">
        <is>
          <t>– Optionally display the number of users per role and unused permissions.</t>
        </is>
      </c>
    </row>
    <row r="187" ht="104.1" customHeight="1" s="6">
      <c r="A187" s="5" t="inlineStr">
        <is>
          <t>Internationalisation (I18n) &amp; Accessibility</t>
        </is>
      </c>
      <c r="B187" s="5" t="inlineStr">
        <is>
          <t>Accessibility (a11y)</t>
        </is>
      </c>
      <c r="C187" s="5" t="inlineStr">
        <is>
          <t>Ensure compliance with accessibility standards</t>
        </is>
      </c>
      <c r="D187" s="5" t="inlineStr">
        <is>
          <t>CRUD</t>
        </is>
      </c>
      <c r="E187" s="5" t="inlineStr">
        <is>
          <t>Todo</t>
        </is>
      </c>
      <c r="F187" s="5" t="n">
        <v>2</v>
      </c>
      <c r="G187" s="8" t="inlineStr">
        <is>
          <t>– Implement `CRole`, `CUserRole` and services; build pages for role creation, permission assignment and user management.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88" ht="30.8" customHeight="1" s="6">
      <c r="A188" s="5" t="inlineStr">
        <is>
          <t>Internationalisation (I18n) &amp; Accessibility</t>
        </is>
      </c>
      <c r="B188" s="5" t="inlineStr">
        <is>
          <t>Accessibility (a11y)</t>
        </is>
      </c>
      <c r="C188" s="5" t="inlineStr">
        <is>
          <t>Ensure compliance with accessibility standards</t>
        </is>
      </c>
      <c r="D188" s="5" t="inlineStr">
        <is>
          <t>Validation</t>
        </is>
      </c>
      <c r="E188" s="5" t="inlineStr">
        <is>
          <t>Todo</t>
        </is>
      </c>
      <c r="F188" s="5" t="n">
        <v>1</v>
      </c>
      <c r="G188" s="8" t="inlineStr">
        <is>
          <t>– Ensure at least one admin role exists, prevent deletion of roles in use and validate permission strings.</t>
        </is>
      </c>
    </row>
    <row r="189" ht="60.15" customHeight="1" s="6">
      <c r="A189" s="5" t="inlineStr">
        <is>
          <t>Internationalisation (I18n) &amp; Accessibility</t>
        </is>
      </c>
      <c r="B189" s="5" t="inlineStr">
        <is>
          <t>Accessibility (a11y)</t>
        </is>
      </c>
      <c r="C189" s="5" t="inlineStr">
        <is>
          <t>Ensure compliance with accessibility standards</t>
        </is>
      </c>
      <c r="D189" s="5" t="inlineStr">
        <is>
          <t>Styling &amp; icons</t>
        </is>
      </c>
      <c r="E189" s="5" t="inlineStr">
        <is>
          <t>Todo</t>
        </is>
      </c>
      <c r="F189" s="5" t="n">
        <v>2</v>
      </c>
      <c r="G189" s="8" t="inlineStr">
        <is>
          <t>– Design a simplified portal with distinct icons and themes; ensure separation from internal UI. Steps: Create a Vaadin page extending the appropriate abstract page. Inject services via the constructor. Bind fields using `Binder` and set up validation. Build responsive layouts and configure grids. Add tests for the UI using Playwright or TestBench.</t>
        </is>
      </c>
    </row>
    <row r="190" ht="16.15" customHeight="1" s="6">
      <c r="A190" s="5" t="inlineStr">
        <is>
          <t>Internationalisation (I18n) &amp; Accessibility</t>
        </is>
      </c>
      <c r="B190" s="5" t="inlineStr">
        <is>
          <t>Accessibility (a11y)</t>
        </is>
      </c>
      <c r="C190" s="5" t="inlineStr">
        <is>
          <t>Ensure compliance with accessibility standards</t>
        </is>
      </c>
      <c r="D190" s="5" t="inlineStr">
        <is>
          <t>Drag‑and‑drop</t>
        </is>
      </c>
      <c r="E190" s="5" t="inlineStr">
        <is>
          <t>Todo</t>
        </is>
      </c>
      <c r="F190" s="5" t="n">
        <v>1</v>
      </c>
      <c r="G190" s="8" t="inlineStr">
        <is>
          <t>– Not applicable.</t>
        </is>
      </c>
    </row>
    <row r="191" ht="16.15" customHeight="1" s="6">
      <c r="A191" s="5" t="inlineStr">
        <is>
          <t>Internationalisation (I18n) &amp; Accessibility</t>
        </is>
      </c>
      <c r="B191" s="5" t="inlineStr">
        <is>
          <t>Accessibility (a11y)</t>
        </is>
      </c>
      <c r="C191" s="5" t="inlineStr">
        <is>
          <t>Ensure compliance with accessibility standards</t>
        </is>
      </c>
      <c r="D191" s="5" t="inlineStr">
        <is>
          <t>Reporting</t>
        </is>
      </c>
      <c r="E191" s="5" t="inlineStr">
        <is>
          <t>Todo</t>
        </is>
      </c>
      <c r="F191" s="5" t="n">
        <v>1</v>
      </c>
      <c r="G191" s="8" t="inlineStr">
        <is>
          <t>– Provide clients with project status summaries and feedback/approval dashboards.</t>
        </is>
      </c>
    </row>
    <row r="192" ht="104.1" customHeight="1" s="6">
      <c r="A192" s="5" t="inlineStr">
        <is>
          <t>Internationalisation (I18n) &amp; Accessibility</t>
        </is>
      </c>
      <c r="B192" s="5" t="inlineStr">
        <is>
          <t>Accessibility (a11y)</t>
        </is>
      </c>
      <c r="C192" s="5" t="inlineStr">
        <is>
          <t>Ensure compliance with accessibility standards</t>
        </is>
      </c>
      <c r="D192" s="5" t="inlineStr">
        <is>
          <t>CRUD</t>
        </is>
      </c>
      <c r="E192" s="5" t="inlineStr">
        <is>
          <t>Todo</t>
        </is>
      </c>
      <c r="F192" s="5" t="n">
        <v>2</v>
      </c>
      <c r="G192" s="8" t="inlineStr">
        <is>
          <t>– Implement `CClient`, `CClientProjectAssignment`, `CClientFeedback` and `CDeliverableApproval` with services and pages for both clients and administrators.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93" ht="60.15" customHeight="1" s="6">
      <c r="A193" s="5" t="inlineStr">
        <is>
          <t>Internationalisation (I18n) &amp; Accessibility</t>
        </is>
      </c>
      <c r="B193" s="5" t="inlineStr">
        <is>
          <t>Accessibility (a11y)</t>
        </is>
      </c>
      <c r="C193" s="5" t="inlineStr">
        <is>
          <t>Ensure compliance with accessibility standards</t>
        </is>
      </c>
      <c r="D193" s="5" t="inlineStr">
        <is>
          <t>Validation</t>
        </is>
      </c>
      <c r="E193" s="5" t="inlineStr">
        <is>
          <t>Todo</t>
        </is>
      </c>
      <c r="F193" s="5" t="n">
        <v>2</v>
      </c>
      <c r="G193" s="8" t="inlineStr">
        <is>
          <t>– Restrict clients to assigned projects/modules; ensure feedback fields are complete and audit actions. Steps: Identify necessary fields and their data types. Select the correct base class (e.g., `CEntity`, `CEntityOfProject`). Add fields with `@AMetaData` annotations. Create default and parameterized constructors. Update Liquibase or Flyway migration scripts. Write unit tests to validate the entity.</t>
        </is>
      </c>
    </row>
    <row r="194" ht="30.8" customHeight="1" s="6">
      <c r="A194" s="5" t="inlineStr">
        <is>
          <t>Internationalisation (I18n) &amp; Accessibility</t>
        </is>
      </c>
      <c r="B194" s="5" t="inlineStr">
        <is>
          <t>Accessibility (a11y)</t>
        </is>
      </c>
      <c r="C194" s="5" t="inlineStr">
        <is>
          <t>Ensure compliance with accessibility standards</t>
        </is>
      </c>
      <c r="D194" s="5" t="inlineStr">
        <is>
          <t>Styling &amp; icons</t>
        </is>
      </c>
      <c r="E194" s="5" t="inlineStr">
        <is>
          <t>Todo</t>
        </is>
      </c>
      <c r="F194" s="5" t="n">
        <v>1</v>
      </c>
      <c r="G194" s="8" t="inlineStr">
        <is>
          <t>– Display AI recommendations and summaries with clear icons and tooltips explaining the suggestions.</t>
        </is>
      </c>
    </row>
    <row r="195" ht="16.15" customHeight="1" s="6">
      <c r="A195" s="5" t="inlineStr">
        <is>
          <t>Internationalisation (I18n) &amp; Accessibility</t>
        </is>
      </c>
      <c r="B195" s="5" t="inlineStr">
        <is>
          <t>Accessibility (a11y)</t>
        </is>
      </c>
      <c r="C195" s="5" t="inlineStr">
        <is>
          <t>Ensure compliance with accessibility standards</t>
        </is>
      </c>
      <c r="D195" s="5" t="inlineStr">
        <is>
          <t>Drag‑and‑drop</t>
        </is>
      </c>
      <c r="E195" s="5" t="inlineStr">
        <is>
          <t>Todo</t>
        </is>
      </c>
      <c r="F195" s="5" t="n">
        <v>1</v>
      </c>
      <c r="G195" s="8" t="inlineStr">
        <is>
          <t>– Not applicable.</t>
        </is>
      </c>
    </row>
    <row r="196" ht="30.8" customHeight="1" s="6">
      <c r="A196" s="5" t="inlineStr">
        <is>
          <t>Internationalisation (I18n) &amp; Accessibility</t>
        </is>
      </c>
      <c r="B196" s="5" t="inlineStr">
        <is>
          <t>Accessibility (a11y)</t>
        </is>
      </c>
      <c r="C196" s="5" t="inlineStr">
        <is>
          <t>Ensure compliance with accessibility standards</t>
        </is>
      </c>
      <c r="D196" s="5" t="inlineStr">
        <is>
          <t>Reporting</t>
        </is>
      </c>
      <c r="E196" s="5" t="inlineStr">
        <is>
          <t>Todo</t>
        </is>
      </c>
      <c r="F196" s="5" t="n">
        <v>1</v>
      </c>
      <c r="G196" s="8" t="inlineStr">
        <is>
          <t>– Visualise predictive analytics results and recommendation rankings; allow acceptance or override of suggestions.</t>
        </is>
      </c>
    </row>
    <row r="197" ht="118.75" customHeight="1" s="6">
      <c r="A197" s="5" t="inlineStr">
        <is>
          <t>Internationalisation (I18n) &amp; Accessibility</t>
        </is>
      </c>
      <c r="B197" s="5" t="inlineStr">
        <is>
          <t>Accessibility (a11y)</t>
        </is>
      </c>
      <c r="C197" s="5" t="inlineStr">
        <is>
          <t>Ensure compliance with accessibility standards</t>
        </is>
      </c>
      <c r="D197" s="5" t="inlineStr">
        <is>
          <t>CRUD</t>
        </is>
      </c>
      <c r="E197" s="5" t="inlineStr">
        <is>
          <t>Todo</t>
        </is>
      </c>
      <c r="F197" s="5" t="n">
        <v>2</v>
      </c>
      <c r="G197" s="8" t="inlineStr">
        <is>
          <t>– Provide services `CRecommendationService`, `CAISummaryService` and `CPredictiveAnalyticsService` to generate and store AI outputs; implement minimal UI for configuration. Steps: Create a repository interface extending Spring Data JPA. Implement a service class extending the appropriate base service. Inject dependencies via the constructor (no field injection). Implement CRUD operations and validation logic. Write unit tests for the service methods. Create a Vaadin page extending the appropriate abstract page. Inject services via the constructor. Bind fields using `Binder` and set up validation. Build responsive layouts and configure grids. Add tests for the UI using Playwright or TestBench.</t>
        </is>
      </c>
    </row>
    <row r="198" ht="30.8" customHeight="1" s="6">
      <c r="A198" s="5" t="inlineStr">
        <is>
          <t>Internationalisation (I18n) &amp; Accessibility</t>
        </is>
      </c>
      <c r="B198" s="5" t="inlineStr">
        <is>
          <t>Accessibility (a11y)</t>
        </is>
      </c>
      <c r="C198" s="5" t="inlineStr">
        <is>
          <t>Ensure compliance with accessibility standards</t>
        </is>
      </c>
      <c r="D198" s="5" t="inlineStr">
        <is>
          <t>Validation</t>
        </is>
      </c>
      <c r="E198" s="5" t="inlineStr">
        <is>
          <t>Todo</t>
        </is>
      </c>
      <c r="F198" s="5" t="n">
        <v>1</v>
      </c>
      <c r="G198" s="8" t="inlineStr">
        <is>
          <t>– Allow users to regenerate or edit AI outputs; show confidence scores and ensure sensitive data is handled securely.</t>
        </is>
      </c>
    </row>
    <row r="199" ht="16.15" customHeight="1" s="6">
      <c r="A199" s="5" t="inlineStr">
        <is>
          <t>Internationalisation (I18n) &amp; Accessibility</t>
        </is>
      </c>
      <c r="B199" s="5" t="inlineStr">
        <is>
          <t>Accessibility (a11y)</t>
        </is>
      </c>
      <c r="C199" s="5" t="inlineStr">
        <is>
          <t>Ensure compliance with accessibility standards</t>
        </is>
      </c>
      <c r="D199" s="5" t="inlineStr">
        <is>
          <t>Styling &amp; icons</t>
        </is>
      </c>
      <c r="E199" s="5" t="inlineStr">
        <is>
          <t>Todo</t>
        </is>
      </c>
      <c r="F199" s="5" t="n">
        <v>1</v>
      </c>
      <c r="G199" s="8" t="inlineStr">
        <is>
          <t>– Implement a notification centre with distinct icons for each event type and clear urgency indicators.</t>
        </is>
      </c>
    </row>
    <row r="200" ht="16.15" customHeight="1" s="6">
      <c r="A200" s="5" t="inlineStr">
        <is>
          <t>Internationalisation (I18n) &amp; Accessibility</t>
        </is>
      </c>
      <c r="B200" s="5" t="inlineStr">
        <is>
          <t>Accessibility (a11y)</t>
        </is>
      </c>
      <c r="C200" s="5" t="inlineStr">
        <is>
          <t>Ensure compliance with accessibility standards</t>
        </is>
      </c>
      <c r="D200" s="5" t="inlineStr">
        <is>
          <t>Drag‑and‑drop</t>
        </is>
      </c>
      <c r="E200" s="5" t="inlineStr">
        <is>
          <t>Todo</t>
        </is>
      </c>
      <c r="F200" s="5" t="n">
        <v>1</v>
      </c>
      <c r="G200" s="8" t="inlineStr">
        <is>
          <t>– Not applicable.</t>
        </is>
      </c>
    </row>
    <row r="201" ht="60.15" customHeight="1" s="6">
      <c r="A201" s="5" t="inlineStr">
        <is>
          <t>Internationalisation (I18n) &amp; Accessibility</t>
        </is>
      </c>
      <c r="B201" s="5" t="inlineStr">
        <is>
          <t>Accessibility (a11y)</t>
        </is>
      </c>
      <c r="C201" s="5" t="inlineStr">
        <is>
          <t>Ensure compliance with accessibility standards</t>
        </is>
      </c>
      <c r="D201" s="5" t="inlineStr">
        <is>
          <t>Reporting</t>
        </is>
      </c>
      <c r="E201" s="5" t="inlineStr">
        <is>
          <t>Todo</t>
        </is>
      </c>
      <c r="F201" s="5" t="n">
        <v>2</v>
      </c>
      <c r="G201" s="8" t="inlineStr">
        <is>
          <t>– Provide a user settings page showing subscribed events and a log of sent notifications; display integration health status. Steps: Create a Vaadin page extending the appropriate abstract page. Inject services via the constructor. Bind fields using `Binder` and set up validation. Build responsive layouts and configure grids. Add tests for the UI using Playwright or TestBench.</t>
        </is>
      </c>
    </row>
    <row r="202" ht="60.15" customHeight="1" s="6">
      <c r="A202" s="5" t="inlineStr">
        <is>
          <t>Internationalisation (I18n) &amp; Accessibility</t>
        </is>
      </c>
      <c r="B202" s="5" t="inlineStr">
        <is>
          <t>Accessibility (a11y)</t>
        </is>
      </c>
      <c r="C202" s="5" t="inlineStr">
        <is>
          <t>Ensure compliance with accessibility standards</t>
        </is>
      </c>
      <c r="D202" s="5" t="inlineStr">
        <is>
          <t>CRUD</t>
        </is>
      </c>
      <c r="E202" s="5" t="inlineStr">
        <is>
          <t>Todo</t>
        </is>
      </c>
      <c r="F202" s="5" t="n">
        <v>2</v>
      </c>
      <c r="G202" s="8" t="inlineStr">
        <is>
          <t>– Create `CNotification` and `CNotificationPreference` entities; build pages for managing preferences and integrations (e.g., Slack webhooks). Steps: Create a Vaadin page extending the appropriate abstract page. Inject services via the constructor. Bind fields using `Binder` and set up validation. Build responsive layouts and configure grids. Add tests for the UI using Playwright or TestBench.</t>
        </is>
      </c>
    </row>
    <row r="203" ht="30.8" customHeight="1" s="6">
      <c r="A203" s="5" t="inlineStr">
        <is>
          <t>Internationalisation (I18n) &amp; Accessibility</t>
        </is>
      </c>
      <c r="B203" s="5" t="inlineStr">
        <is>
          <t>Accessibility (a11y)</t>
        </is>
      </c>
      <c r="C203" s="5" t="inlineStr">
        <is>
          <t>Ensure compliance with accessibility standards</t>
        </is>
      </c>
      <c r="D203" s="5" t="inlineStr">
        <is>
          <t>Validation</t>
        </is>
      </c>
      <c r="E203" s="5" t="inlineStr">
        <is>
          <t>Todo</t>
        </is>
      </c>
      <c r="F203" s="5" t="n">
        <v>1</v>
      </c>
      <c r="G203" s="8" t="inlineStr">
        <is>
          <t>– Validate email addresses and webhook URLs; respect user preferences and handle delivery errors gracefully.</t>
        </is>
      </c>
    </row>
    <row r="204" ht="16.15" customHeight="1" s="6">
      <c r="A204" s="5" t="inlineStr">
        <is>
          <t>Internationalisation (I18n) &amp; Accessibility</t>
        </is>
      </c>
      <c r="B204" s="5" t="inlineStr">
        <is>
          <t>Accessibility (a11y)</t>
        </is>
      </c>
      <c r="C204" s="5" t="inlineStr">
        <is>
          <t>Ensure compliance with accessibility standards</t>
        </is>
      </c>
      <c r="D204" s="5" t="inlineStr">
        <is>
          <t>Styling &amp; icons</t>
        </is>
      </c>
      <c r="E204" s="5" t="inlineStr">
        <is>
          <t>Todo</t>
        </is>
      </c>
      <c r="F204" s="5" t="n">
        <v>1</v>
      </c>
      <c r="G204" s="8" t="inlineStr">
        <is>
          <t>– Not applicable to code, but maintain clarity in test reports and dashboards.</t>
        </is>
      </c>
    </row>
    <row r="205" ht="16.15" customHeight="1" s="6">
      <c r="A205" s="5" t="inlineStr">
        <is>
          <t>Internationalisation (I18n) &amp; Accessibility</t>
        </is>
      </c>
      <c r="B205" s="5" t="inlineStr">
        <is>
          <t>Accessibility (a11y)</t>
        </is>
      </c>
      <c r="C205" s="5" t="inlineStr">
        <is>
          <t>Ensure compliance with accessibility standards</t>
        </is>
      </c>
      <c r="D205" s="5" t="inlineStr">
        <is>
          <t>Drag‑and‑drop</t>
        </is>
      </c>
      <c r="E205" s="5" t="inlineStr">
        <is>
          <t>Todo</t>
        </is>
      </c>
      <c r="F205" s="5" t="n">
        <v>1</v>
      </c>
      <c r="G205" s="8" t="inlineStr">
        <is>
          <t>– Not applicable.</t>
        </is>
      </c>
    </row>
    <row r="206" ht="30.8" customHeight="1" s="6">
      <c r="A206" s="5" t="inlineStr">
        <is>
          <t>Internationalisation (I18n) &amp; Accessibility</t>
        </is>
      </c>
      <c r="B206" s="5" t="inlineStr">
        <is>
          <t>Accessibility (a11y)</t>
        </is>
      </c>
      <c r="C206" s="5" t="inlineStr">
        <is>
          <t>Ensure compliance with accessibility standards</t>
        </is>
      </c>
      <c r="D206" s="5" t="inlineStr">
        <is>
          <t>Reporting</t>
        </is>
      </c>
      <c r="E206" s="5" t="inlineStr">
        <is>
          <t>Todo</t>
        </is>
      </c>
      <c r="F206" s="5" t="n">
        <v>1</v>
      </c>
      <c r="G206" s="8" t="inlineStr">
        <is>
          <t>– Generate reports on test coverage, pass/fail metrics and static analysis results; visualise trends over time.</t>
        </is>
      </c>
    </row>
    <row r="207" ht="60.15" customHeight="1" s="6">
      <c r="A207" s="5" t="inlineStr">
        <is>
          <t>Internationalisation (I18n) &amp; Accessibility</t>
        </is>
      </c>
      <c r="B207" s="5" t="inlineStr">
        <is>
          <t>Accessibility (a11y)</t>
        </is>
      </c>
      <c r="C207" s="5" t="inlineStr">
        <is>
          <t>Ensure compliance with accessibility standards</t>
        </is>
      </c>
      <c r="D207" s="5" t="inlineStr">
        <is>
          <t>CRUD</t>
        </is>
      </c>
      <c r="E207" s="5" t="inlineStr">
        <is>
          <t>Todo</t>
        </is>
      </c>
      <c r="F207" s="5" t="n">
        <v>2</v>
      </c>
      <c r="G207" s="8" t="inlineStr">
        <is>
          <t>– Configure test and analysis tools (Playwright, Checkstyle, PMD, SpotBugs, JaCoCo) within build scripts and CI pipeline. Steps: Create a Vaadin page extending the appropriate abstract page. Inject services via the constructor. Bind fields using `Binder` and set up validation. Build responsive layouts and configure grids. Add tests for the UI using Playwright or TestBench.</t>
        </is>
      </c>
    </row>
    <row r="208" ht="45.45" customHeight="1" s="6">
      <c r="A208" s="5" t="inlineStr">
        <is>
          <t>Internationalisation (I18n) &amp; Accessibility</t>
        </is>
      </c>
      <c r="B208" s="5" t="inlineStr">
        <is>
          <t>Accessibility (a11y)</t>
        </is>
      </c>
      <c r="C208" s="5" t="inlineStr">
        <is>
          <t>Ensure compliance with accessibility standards</t>
        </is>
      </c>
      <c r="D208" s="5" t="inlineStr">
        <is>
          <t>Validation</t>
        </is>
      </c>
      <c r="E208" s="5" t="inlineStr">
        <is>
          <t>Todo</t>
        </is>
      </c>
      <c r="F208" s="5" t="n">
        <v>1</v>
      </c>
      <c r="G208" s="8" t="inlineStr">
        <is>
          <t>– Ensure tests cover critical workflows and enforce static analysis thresholds; document quality gates. Steps: Write unit tests covering edge cases and logic. Add integration tests for data flow. Implement UI tests where applicable.</t>
        </is>
      </c>
    </row>
    <row r="209" ht="31.95" customHeight="1" s="6">
      <c r="A209" s="5" t="inlineStr">
        <is>
          <t>Internationalisation (I18n) &amp; Accessibility</t>
        </is>
      </c>
      <c r="B209" s="5" t="inlineStr">
        <is>
          <t>Accessibility (a11y)</t>
        </is>
      </c>
      <c r="C209" s="5" t="inlineStr">
        <is>
          <t>Ensure compliance with accessibility standards</t>
        </is>
      </c>
      <c r="D209" s="5" t="inlineStr">
        <is>
          <t>Styling &amp; icons</t>
        </is>
      </c>
      <c r="E209" s="5" t="inlineStr">
        <is>
          <t>Todo</t>
        </is>
      </c>
      <c r="F209" s="5" t="n">
        <v>1</v>
      </c>
      <c r="G209" s="8" t="inlineStr">
        <is>
          <t>– Provide a language selector with flag icons and implement high‑contrast and accessible themes; ensure responsive layouts across locales【850071896481142†L450-L466】.</t>
        </is>
      </c>
    </row>
    <row r="210" ht="16.15" customHeight="1" s="6">
      <c r="A210" s="5" t="inlineStr">
        <is>
          <t>Internationalisation (I18n) &amp; Accessibility</t>
        </is>
      </c>
      <c r="B210" s="5" t="inlineStr">
        <is>
          <t>Accessibility (a11y)</t>
        </is>
      </c>
      <c r="C210" s="5" t="inlineStr">
        <is>
          <t>Ensure compliance with accessibility standards</t>
        </is>
      </c>
      <c r="D210" s="5" t="inlineStr">
        <is>
          <t>Drag‑and‑drop</t>
        </is>
      </c>
      <c r="E210" s="5" t="inlineStr">
        <is>
          <t>Todo</t>
        </is>
      </c>
      <c r="F210" s="5" t="n">
        <v>1</v>
      </c>
      <c r="G210" s="8" t="inlineStr">
        <is>
          <t>– Not applicable.</t>
        </is>
      </c>
    </row>
    <row r="211" ht="16.15" customHeight="1" s="6">
      <c r="A211" s="5" t="inlineStr">
        <is>
          <t>Internationalisation (I18n) &amp; Accessibility</t>
        </is>
      </c>
      <c r="B211" s="5" t="inlineStr">
        <is>
          <t>Accessibility (a11y)</t>
        </is>
      </c>
      <c r="C211" s="5" t="inlineStr">
        <is>
          <t>Ensure compliance with accessibility standards</t>
        </is>
      </c>
      <c r="D211" s="5" t="inlineStr">
        <is>
          <t>Reporting</t>
        </is>
      </c>
      <c r="E211" s="5" t="inlineStr">
        <is>
          <t>Todo</t>
        </is>
      </c>
      <c r="F211" s="5" t="n">
        <v>1</v>
      </c>
      <c r="G211" s="8" t="inlineStr">
        <is>
          <t>– Optionally track translation coverage and accessibility audit results.</t>
        </is>
      </c>
    </row>
    <row r="212" ht="30.8" customHeight="1" s="6">
      <c r="A212" s="5" t="inlineStr">
        <is>
          <t>Internationalisation (I18n) &amp; Accessibility</t>
        </is>
      </c>
      <c r="B212" s="5" t="inlineStr">
        <is>
          <t>Accessibility (a11y)</t>
        </is>
      </c>
      <c r="C212" s="5" t="inlineStr">
        <is>
          <t>Ensure compliance with accessibility standards</t>
        </is>
      </c>
      <c r="D212" s="5" t="inlineStr">
        <is>
          <t>CRUD</t>
        </is>
      </c>
      <c r="E212" s="5" t="inlineStr">
        <is>
          <t>Todo</t>
        </is>
      </c>
      <c r="F212" s="5" t="n">
        <v>1</v>
      </c>
      <c r="G212" s="8" t="inlineStr">
        <is>
          <t>– Manage resource bundles for each language and allow users to select their preferred locale; persist preferences in the user profile.</t>
        </is>
      </c>
    </row>
    <row r="213" ht="60.15" customHeight="1" s="6">
      <c r="A213" s="5" t="inlineStr">
        <is>
          <t>Internationalisation (I18n) &amp; Accessibility</t>
        </is>
      </c>
      <c r="B213" s="5" t="inlineStr">
        <is>
          <t>Accessibility (a11y)</t>
        </is>
      </c>
      <c r="C213" s="5" t="inlineStr">
        <is>
          <t>Ensure compliance with accessibility standards</t>
        </is>
      </c>
      <c r="D213" s="5" t="inlineStr">
        <is>
          <t>Validation</t>
        </is>
      </c>
      <c r="E213" s="5" t="inlineStr">
        <is>
          <t>Todo</t>
        </is>
      </c>
      <c r="F213" s="5" t="n">
        <v>2</v>
      </c>
      <c r="G213" s="8" t="inlineStr">
        <is>
          <t>– Ensure all UI strings are externalised; apply locale‑aware formatting for dates and numbers; perform accessibility audits to meet WCAG 2.1 AA. Steps: Create a Vaadin page extending the appropriate abstract page. Inject services via the constructor. Bind fields using `Binder` and set up validation. Build responsive layouts and configure grids. Add tests for the UI using Playwright or TestBench.</t>
        </is>
      </c>
    </row>
  </sheetData>
  <autoFilter ref="A1:G213"/>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5" min="1" max="1"/>
    <col width="10.71" customWidth="1" style="5" min="2" max="2"/>
    <col width="70.70999999999999" customWidth="1" style="5" min="3" max="3"/>
  </cols>
  <sheetData>
    <row r="1" ht="17.35" customHeight="1" s="6">
      <c r="A1" s="13" t="inlineStr">
        <is>
          <t>Story Point Estimation Methodology</t>
        </is>
      </c>
    </row>
    <row r="2" ht="15" customHeight="1" s="6">
      <c r="A2" s="7" t="inlineStr">
        <is>
          <t>Range (approx. words)</t>
        </is>
      </c>
      <c r="B2" s="7" t="inlineStr">
        <is>
          <t>Story Points</t>
        </is>
      </c>
      <c r="C2" s="7" t="inlineStr">
        <is>
          <t>Rationale</t>
        </is>
      </c>
    </row>
    <row r="3" ht="30.8" customHeight="1" s="6">
      <c r="A3" s="8" t="inlineStr">
        <is>
          <t>≤ 50 words</t>
        </is>
      </c>
      <c r="B3" s="8" t="inlineStr">
        <is>
          <t>1 SP</t>
        </is>
      </c>
      <c r="C3" s="8" t="inlineStr">
        <is>
          <t>Simple tasks requiring straightforward coding or minor configuration changes; minimal debugging or refactoring needed.</t>
        </is>
      </c>
    </row>
    <row r="4" ht="30.8" customHeight="1" s="6">
      <c r="A4" s="8" t="inlineStr">
        <is>
          <t>51–100 words</t>
        </is>
      </c>
      <c r="B4" s="8" t="inlineStr">
        <is>
          <t>2 SP</t>
        </is>
      </c>
      <c r="C4" s="8" t="inlineStr">
        <is>
          <t>Moderate tasks involving creation of entities, services or UI components, plus some design thinking and basic testing.</t>
        </is>
      </c>
    </row>
    <row r="5" ht="30.8" customHeight="1" s="6">
      <c r="A5" s="8" t="inlineStr">
        <is>
          <t>101–150 words</t>
        </is>
      </c>
      <c r="B5" s="8" t="inlineStr">
        <is>
          <t>3 SP</t>
        </is>
      </c>
      <c r="C5" s="8" t="inlineStr">
        <is>
          <t>Complex tasks spanning multiple components (entity, service, UI) or involving calculations and conditional logic; may need refactoring.</t>
        </is>
      </c>
    </row>
    <row r="6" ht="30.8" customHeight="1" s="6">
      <c r="A6" s="8" t="inlineStr">
        <is>
          <t>&gt; 150 words</t>
        </is>
      </c>
      <c r="B6" s="8" t="inlineStr">
        <is>
          <t>5 SP</t>
        </is>
      </c>
      <c r="C6" s="8" t="inlineStr">
        <is>
          <t>Very complex tasks or features spanning several modules requiring significant coding, debugging, integration and risk of refactoring.</t>
        </is>
      </c>
    </row>
    <row r="8" ht="60.15" customHeight="1" s="6">
      <c r="A8" s="7" t="inlineStr">
        <is>
          <t>Guidance:</t>
        </is>
      </c>
      <c r="B8" s="8" t="n"/>
      <c r="C8" s="8"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2026-01-01T09:28:53Z</dcterms:created>
  <dcterms:modified xsi:type="dcterms:W3CDTF">2026-01-12T18:48:20Z</dcterms:modified>
  <cp:revision>1</cp:revision>
</cp:coreProperties>
</file>